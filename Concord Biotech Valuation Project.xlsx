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grim Thakur\Downloads\"/>
    </mc:Choice>
  </mc:AlternateContent>
  <xr:revisionPtr revIDLastSave="0" documentId="13_ncr:1_{A347AF28-2C98-4253-A0FA-9D85CDEE1F3F}" xr6:coauthVersionLast="47" xr6:coauthVersionMax="47" xr10:uidLastSave="{00000000-0000-0000-0000-000000000000}"/>
  <bookViews>
    <workbookView xWindow="-108" yWindow="-108" windowWidth="23256" windowHeight="12456" tabRatio="744" activeTab="4" xr2:uid="{00000000-000D-0000-FFFF-FFFF00000000}"/>
  </bookViews>
  <sheets>
    <sheet name="Dashboard" sheetId="1" r:id="rId1"/>
    <sheet name="Drivers" sheetId="2" r:id="rId2"/>
    <sheet name="Balancesheet" sheetId="3" r:id="rId3"/>
    <sheet name="Cash Flow " sheetId="4" r:id="rId4"/>
    <sheet name="Assumptions and Analysis" sheetId="5" r:id="rId5"/>
    <sheet name="Profit and Loss forecast" sheetId="6" r:id="rId6"/>
    <sheet name="Working capital and Capex" sheetId="7" r:id="rId7"/>
    <sheet name="Beta" sheetId="8" r:id="rId8"/>
    <sheet name="WACC" sheetId="9" r:id="rId9"/>
    <sheet name="DCF" sheetId="10" r:id="rId10"/>
    <sheet name="Relative Valuation" sheetId="11" r:id="rId11"/>
    <sheet name="DDM" sheetId="12" r:id="rId12"/>
  </sheets>
  <externalReferences>
    <externalReference r:id="rId13"/>
    <externalReference r:id="rId14"/>
  </externalReferences>
  <definedNames>
    <definedName name="_xlnm._FilterDatabase" localSheetId="7" hidden="1">Beta!$B$6:$D$110</definedName>
    <definedName name="UPDATE" localSheetId="3">'[1]Data Sheet'!$E$1</definedName>
    <definedName name="UPDATE">#REF!</definedName>
  </definedNames>
  <calcPr calcId="191029"/>
  <extLst>
    <ext uri="GoogleSheetsCustomDataVersion2">
      <go:sheetsCustomData xmlns:go="http://customooxmlschemas.google.com/" r:id="rId18" roundtripDataChecksum="CBZPgIAwZwpBC/1nu70Qk1r1fVvzGV01Z+ove7pSK+M="/>
    </ext>
  </extLst>
</workbook>
</file>

<file path=xl/calcChain.xml><?xml version="1.0" encoding="utf-8"?>
<calcChain xmlns="http://schemas.openxmlformats.org/spreadsheetml/2006/main">
  <c r="E7" i="11" l="1"/>
  <c r="H5" i="7"/>
  <c r="I5" i="7"/>
  <c r="J5" i="7"/>
  <c r="K5" i="7"/>
  <c r="H6" i="7"/>
  <c r="I6" i="7"/>
  <c r="J6" i="7"/>
  <c r="K6" i="7"/>
  <c r="G5" i="7"/>
  <c r="G6" i="7"/>
  <c r="H4" i="7"/>
  <c r="I4" i="7"/>
  <c r="J4" i="7"/>
  <c r="K4" i="7"/>
  <c r="G4" i="7"/>
  <c r="H13" i="7"/>
  <c r="I13" i="7"/>
  <c r="J13" i="7"/>
  <c r="K13" i="7"/>
  <c r="G13" i="7"/>
  <c r="H11" i="7"/>
  <c r="I11" i="7"/>
  <c r="J11" i="7"/>
  <c r="K11" i="7"/>
  <c r="G11" i="7"/>
  <c r="D5" i="9"/>
  <c r="D4" i="9"/>
  <c r="D24" i="10"/>
  <c r="D13" i="7"/>
  <c r="E13" i="7"/>
  <c r="F13" i="7"/>
  <c r="C13" i="7"/>
  <c r="D11" i="7"/>
  <c r="E11" i="7"/>
  <c r="F11" i="7"/>
  <c r="C11" i="7"/>
  <c r="C41" i="6"/>
  <c r="D41" i="6"/>
  <c r="E41" i="6"/>
  <c r="F41" i="6"/>
  <c r="G41" i="6"/>
  <c r="H41" i="6"/>
  <c r="I41" i="6"/>
  <c r="J41" i="6"/>
  <c r="K41" i="6"/>
  <c r="B41" i="6"/>
  <c r="C52" i="3"/>
  <c r="D52" i="3"/>
  <c r="E52" i="3"/>
  <c r="F52" i="3"/>
  <c r="G24" i="7"/>
  <c r="C51" i="3"/>
  <c r="D51" i="3"/>
  <c r="E51" i="3"/>
  <c r="F51" i="3"/>
  <c r="B51" i="3"/>
  <c r="D22" i="10"/>
  <c r="C19" i="7"/>
  <c r="D19" i="7"/>
  <c r="E19" i="7"/>
  <c r="F19" i="7"/>
  <c r="B19" i="7"/>
  <c r="Q25" i="11"/>
  <c r="Q23" i="11"/>
  <c r="Q24" i="11"/>
  <c r="Q26" i="11" s="1"/>
  <c r="Q28" i="11" s="1"/>
  <c r="Q18" i="11"/>
  <c r="Q17" i="11"/>
  <c r="Q16" i="11"/>
  <c r="Q15" i="11"/>
  <c r="Q14" i="11"/>
  <c r="Q13" i="11"/>
  <c r="J7" i="8"/>
  <c r="D12" i="9" s="1"/>
  <c r="D12" i="12"/>
  <c r="M5" i="12"/>
  <c r="L5" i="12"/>
  <c r="K5" i="12"/>
  <c r="J5" i="12"/>
  <c r="I5" i="12"/>
  <c r="O4" i="12"/>
  <c r="N4" i="12"/>
  <c r="P25" i="11"/>
  <c r="O25" i="11"/>
  <c r="N25" i="11"/>
  <c r="P23" i="11"/>
  <c r="O23" i="11"/>
  <c r="N23" i="11"/>
  <c r="P18" i="11"/>
  <c r="P17" i="11"/>
  <c r="P16" i="11"/>
  <c r="P24" i="11" s="1"/>
  <c r="O16" i="11"/>
  <c r="O22" i="11" s="1"/>
  <c r="O24" i="11" s="1"/>
  <c r="O26" i="11" s="1"/>
  <c r="O28" i="11" s="1"/>
  <c r="P15" i="11"/>
  <c r="P14" i="11"/>
  <c r="P13" i="11"/>
  <c r="O11" i="11"/>
  <c r="N11" i="11"/>
  <c r="O10" i="11"/>
  <c r="N10" i="11"/>
  <c r="O8" i="11"/>
  <c r="O15" i="11" s="1"/>
  <c r="N8" i="11"/>
  <c r="N18" i="11" s="1"/>
  <c r="D21" i="9"/>
  <c r="D11" i="9"/>
  <c r="G110" i="8"/>
  <c r="D110" i="8"/>
  <c r="G109" i="8"/>
  <c r="D109" i="8"/>
  <c r="G108" i="8"/>
  <c r="D108" i="8"/>
  <c r="G107" i="8"/>
  <c r="D107" i="8"/>
  <c r="G106" i="8"/>
  <c r="D106" i="8"/>
  <c r="G105" i="8"/>
  <c r="D105" i="8"/>
  <c r="G104" i="8"/>
  <c r="D104" i="8"/>
  <c r="G103" i="8"/>
  <c r="D103" i="8"/>
  <c r="G102" i="8"/>
  <c r="D102" i="8"/>
  <c r="G101" i="8"/>
  <c r="D101" i="8"/>
  <c r="G100" i="8"/>
  <c r="D100" i="8"/>
  <c r="G99" i="8"/>
  <c r="D99" i="8"/>
  <c r="G98" i="8"/>
  <c r="D98" i="8"/>
  <c r="G97" i="8"/>
  <c r="D97" i="8"/>
  <c r="G96" i="8"/>
  <c r="D96" i="8"/>
  <c r="G95" i="8"/>
  <c r="D95" i="8"/>
  <c r="G94" i="8"/>
  <c r="D94" i="8"/>
  <c r="G93" i="8"/>
  <c r="D93" i="8"/>
  <c r="G92" i="8"/>
  <c r="D92" i="8"/>
  <c r="G91" i="8"/>
  <c r="D91" i="8"/>
  <c r="G90" i="8"/>
  <c r="D90" i="8"/>
  <c r="G89" i="8"/>
  <c r="D89" i="8"/>
  <c r="G88" i="8"/>
  <c r="D88" i="8"/>
  <c r="G87" i="8"/>
  <c r="D87" i="8"/>
  <c r="G86" i="8"/>
  <c r="D86" i="8"/>
  <c r="G85" i="8"/>
  <c r="D85" i="8"/>
  <c r="G84" i="8"/>
  <c r="D84" i="8"/>
  <c r="G83" i="8"/>
  <c r="D83" i="8"/>
  <c r="G82" i="8"/>
  <c r="D82" i="8"/>
  <c r="G81" i="8"/>
  <c r="D81" i="8"/>
  <c r="G80" i="8"/>
  <c r="D80" i="8"/>
  <c r="G79" i="8"/>
  <c r="D79" i="8"/>
  <c r="G78" i="8"/>
  <c r="D78" i="8"/>
  <c r="G77" i="8"/>
  <c r="D77" i="8"/>
  <c r="G76" i="8"/>
  <c r="D76" i="8"/>
  <c r="G75" i="8"/>
  <c r="D75" i="8"/>
  <c r="G74" i="8"/>
  <c r="D74" i="8"/>
  <c r="G73" i="8"/>
  <c r="D73" i="8"/>
  <c r="G72" i="8"/>
  <c r="D72" i="8"/>
  <c r="G71" i="8"/>
  <c r="D71" i="8"/>
  <c r="G70" i="8"/>
  <c r="D70" i="8"/>
  <c r="G69" i="8"/>
  <c r="D69" i="8"/>
  <c r="G68" i="8"/>
  <c r="D68" i="8"/>
  <c r="G67" i="8"/>
  <c r="D67" i="8"/>
  <c r="G66" i="8"/>
  <c r="D66" i="8"/>
  <c r="G65" i="8"/>
  <c r="D65" i="8"/>
  <c r="G64" i="8"/>
  <c r="D64" i="8"/>
  <c r="G63" i="8"/>
  <c r="D63" i="8"/>
  <c r="G62" i="8"/>
  <c r="D62" i="8"/>
  <c r="G61" i="8"/>
  <c r="D61" i="8"/>
  <c r="G60" i="8"/>
  <c r="D60" i="8"/>
  <c r="G59" i="8"/>
  <c r="D59" i="8"/>
  <c r="G58" i="8"/>
  <c r="D58" i="8"/>
  <c r="G57" i="8"/>
  <c r="D57" i="8"/>
  <c r="G56" i="8"/>
  <c r="D56" i="8"/>
  <c r="G55" i="8"/>
  <c r="D55" i="8"/>
  <c r="G54" i="8"/>
  <c r="D54" i="8"/>
  <c r="G53" i="8"/>
  <c r="D53" i="8"/>
  <c r="G52" i="8"/>
  <c r="D52" i="8"/>
  <c r="G51" i="8"/>
  <c r="D51" i="8"/>
  <c r="G50" i="8"/>
  <c r="D50" i="8"/>
  <c r="G49" i="8"/>
  <c r="D49" i="8"/>
  <c r="G48" i="8"/>
  <c r="D48" i="8"/>
  <c r="G47" i="8"/>
  <c r="D47" i="8"/>
  <c r="G46" i="8"/>
  <c r="D46" i="8"/>
  <c r="G45" i="8"/>
  <c r="D45" i="8"/>
  <c r="G44" i="8"/>
  <c r="D44" i="8"/>
  <c r="G43" i="8"/>
  <c r="D43" i="8"/>
  <c r="G42" i="8"/>
  <c r="D42" i="8"/>
  <c r="G41" i="8"/>
  <c r="D41" i="8"/>
  <c r="G40" i="8"/>
  <c r="D40" i="8"/>
  <c r="G39" i="8"/>
  <c r="D39" i="8"/>
  <c r="G38" i="8"/>
  <c r="D38" i="8"/>
  <c r="G37" i="8"/>
  <c r="D37" i="8"/>
  <c r="G36" i="8"/>
  <c r="D36" i="8"/>
  <c r="G35" i="8"/>
  <c r="D35" i="8"/>
  <c r="G34" i="8"/>
  <c r="D34" i="8"/>
  <c r="G33" i="8"/>
  <c r="D33" i="8"/>
  <c r="G32" i="8"/>
  <c r="D32" i="8"/>
  <c r="G31" i="8"/>
  <c r="D31" i="8"/>
  <c r="G30" i="8"/>
  <c r="D30" i="8"/>
  <c r="G29" i="8"/>
  <c r="D29" i="8"/>
  <c r="G28" i="8"/>
  <c r="D28" i="8"/>
  <c r="G27" i="8"/>
  <c r="D27" i="8"/>
  <c r="G26" i="8"/>
  <c r="D26" i="8"/>
  <c r="G25" i="8"/>
  <c r="D25" i="8"/>
  <c r="G24" i="8"/>
  <c r="D24" i="8"/>
  <c r="G23" i="8"/>
  <c r="D23" i="8"/>
  <c r="G22" i="8"/>
  <c r="D22" i="8"/>
  <c r="G21" i="8"/>
  <c r="D21" i="8"/>
  <c r="G20" i="8"/>
  <c r="D20" i="8"/>
  <c r="G19" i="8"/>
  <c r="D19" i="8"/>
  <c r="G18" i="8"/>
  <c r="D18" i="8"/>
  <c r="G17" i="8"/>
  <c r="D17" i="8"/>
  <c r="G16" i="8"/>
  <c r="D16" i="8"/>
  <c r="G15" i="8"/>
  <c r="D15" i="8"/>
  <c r="G14" i="8"/>
  <c r="D14" i="8"/>
  <c r="G13" i="8"/>
  <c r="D13" i="8"/>
  <c r="G12" i="8"/>
  <c r="D12" i="8"/>
  <c r="G11" i="8"/>
  <c r="D11" i="8"/>
  <c r="G10" i="8"/>
  <c r="D10" i="8"/>
  <c r="G9" i="8"/>
  <c r="D9" i="8"/>
  <c r="G8" i="8"/>
  <c r="J6" i="8" s="1"/>
  <c r="D13" i="9" s="1"/>
  <c r="D8" i="8"/>
  <c r="F21" i="7"/>
  <c r="E21" i="7"/>
  <c r="D21" i="7"/>
  <c r="C21" i="7"/>
  <c r="B21" i="7"/>
  <c r="F18" i="7"/>
  <c r="F20" i="7" s="1"/>
  <c r="E18" i="7"/>
  <c r="E20" i="7" s="1"/>
  <c r="D18" i="7"/>
  <c r="D20" i="7" s="1"/>
  <c r="C18" i="7"/>
  <c r="C20" i="7" s="1"/>
  <c r="B18" i="7"/>
  <c r="B20" i="7" s="1"/>
  <c r="F6" i="7"/>
  <c r="E6" i="7"/>
  <c r="D6" i="7"/>
  <c r="C6" i="7"/>
  <c r="B6" i="7"/>
  <c r="F5" i="7"/>
  <c r="E5" i="7"/>
  <c r="D5" i="7"/>
  <c r="C5" i="7"/>
  <c r="B5" i="7"/>
  <c r="F4" i="7"/>
  <c r="E4" i="7"/>
  <c r="E7" i="7" s="1"/>
  <c r="D4" i="7"/>
  <c r="C4" i="7"/>
  <c r="C7" i="7" s="1"/>
  <c r="B4" i="7"/>
  <c r="F3" i="7"/>
  <c r="E3" i="7"/>
  <c r="D3" i="7"/>
  <c r="C3" i="7"/>
  <c r="B3" i="7"/>
  <c r="F35" i="6"/>
  <c r="E35" i="6"/>
  <c r="D35" i="6"/>
  <c r="C35" i="6"/>
  <c r="B35" i="6"/>
  <c r="F34" i="6"/>
  <c r="E34" i="6"/>
  <c r="D34" i="6"/>
  <c r="C34" i="6"/>
  <c r="B34" i="6"/>
  <c r="F26" i="6"/>
  <c r="E26" i="6"/>
  <c r="D26" i="6"/>
  <c r="C26" i="6"/>
  <c r="B26" i="6"/>
  <c r="F23" i="6"/>
  <c r="E23" i="6"/>
  <c r="D23" i="6"/>
  <c r="C23" i="6"/>
  <c r="B23" i="6"/>
  <c r="F20" i="6"/>
  <c r="E20" i="6"/>
  <c r="D20" i="6"/>
  <c r="C20" i="6"/>
  <c r="B20" i="6"/>
  <c r="F17" i="6"/>
  <c r="E17" i="6"/>
  <c r="D17" i="6"/>
  <c r="C17" i="6"/>
  <c r="B17" i="6"/>
  <c r="F13" i="6"/>
  <c r="F36" i="6" s="1"/>
  <c r="F39" i="6" s="1"/>
  <c r="H4" i="12" s="1"/>
  <c r="H6" i="12" s="1"/>
  <c r="E13" i="6"/>
  <c r="D13" i="6"/>
  <c r="C13" i="6"/>
  <c r="B13" i="6"/>
  <c r="B36" i="6" s="1"/>
  <c r="B39" i="6" s="1"/>
  <c r="D4" i="12" s="1"/>
  <c r="D6" i="12" s="1"/>
  <c r="F11" i="6"/>
  <c r="E11" i="6"/>
  <c r="D11" i="6"/>
  <c r="C11" i="6"/>
  <c r="B11" i="6"/>
  <c r="F8" i="6"/>
  <c r="E8" i="6"/>
  <c r="D8" i="6"/>
  <c r="C8" i="6"/>
  <c r="G7" i="6"/>
  <c r="F4" i="6"/>
  <c r="E4" i="6"/>
  <c r="D4" i="6"/>
  <c r="C4" i="6"/>
  <c r="B4" i="6"/>
  <c r="A1" i="4"/>
  <c r="F41" i="3"/>
  <c r="E41" i="3"/>
  <c r="D41" i="3"/>
  <c r="C41" i="3"/>
  <c r="B41" i="3"/>
  <c r="B52" i="3" s="1"/>
  <c r="F33" i="3"/>
  <c r="E33" i="3"/>
  <c r="D33" i="3"/>
  <c r="C33" i="3"/>
  <c r="B33" i="3"/>
  <c r="F27" i="3"/>
  <c r="E27" i="3"/>
  <c r="E28" i="3" s="1"/>
  <c r="D27" i="3"/>
  <c r="C27" i="3"/>
  <c r="B27" i="3"/>
  <c r="F17" i="3"/>
  <c r="F28" i="3" s="1"/>
  <c r="E17" i="3"/>
  <c r="D17" i="3"/>
  <c r="C17" i="3"/>
  <c r="C28" i="3" s="1"/>
  <c r="B17" i="3"/>
  <c r="B28" i="3" s="1"/>
  <c r="K18" i="1"/>
  <c r="Q22" i="11" l="1"/>
  <c r="K34" i="6"/>
  <c r="K26" i="6"/>
  <c r="C36" i="6"/>
  <c r="C39" i="6" s="1"/>
  <c r="E4" i="12" s="1"/>
  <c r="E6" i="12" s="1"/>
  <c r="G17" i="6"/>
  <c r="J26" i="6"/>
  <c r="G16" i="6"/>
  <c r="J11" i="6"/>
  <c r="G20" i="6"/>
  <c r="H20" i="6" s="1"/>
  <c r="H19" i="6" s="1"/>
  <c r="I26" i="6"/>
  <c r="G11" i="6"/>
  <c r="G10" i="6" s="1"/>
  <c r="K11" i="6"/>
  <c r="C53" i="3"/>
  <c r="D53" i="3"/>
  <c r="D6" i="9"/>
  <c r="E4" i="9" s="1"/>
  <c r="D7" i="7"/>
  <c r="D8" i="7" s="1"/>
  <c r="D28" i="3"/>
  <c r="B7" i="7"/>
  <c r="C8" i="4" s="1"/>
  <c r="F12" i="7"/>
  <c r="D26" i="7"/>
  <c r="E53" i="3"/>
  <c r="B53" i="3"/>
  <c r="F31" i="6"/>
  <c r="F26" i="7"/>
  <c r="F22" i="7"/>
  <c r="G18" i="7" s="1"/>
  <c r="D14" i="9"/>
  <c r="G13" i="6"/>
  <c r="B24" i="7"/>
  <c r="F24" i="7"/>
  <c r="G19" i="6"/>
  <c r="C22" i="7"/>
  <c r="C31" i="6"/>
  <c r="E24" i="7"/>
  <c r="E12" i="7"/>
  <c r="E36" i="6"/>
  <c r="B31" i="6"/>
  <c r="B26" i="7"/>
  <c r="B22" i="7"/>
  <c r="F53" i="3"/>
  <c r="D8" i="4"/>
  <c r="H7" i="6"/>
  <c r="H17" i="6"/>
  <c r="I17" i="6" s="1"/>
  <c r="J17" i="6" s="1"/>
  <c r="C8" i="7"/>
  <c r="D31" i="6"/>
  <c r="D22" i="7"/>
  <c r="D24" i="7"/>
  <c r="E31" i="6"/>
  <c r="E26" i="7"/>
  <c r="E22" i="7"/>
  <c r="C26" i="7"/>
  <c r="P26" i="11"/>
  <c r="P31" i="11" s="1"/>
  <c r="P22" i="11"/>
  <c r="H11" i="6"/>
  <c r="H34" i="6"/>
  <c r="D36" i="6"/>
  <c r="F7" i="7"/>
  <c r="C12" i="7"/>
  <c r="N13" i="11"/>
  <c r="O14" i="11"/>
  <c r="N17" i="11"/>
  <c r="O18" i="11"/>
  <c r="I11" i="6"/>
  <c r="G26" i="6"/>
  <c r="G25" i="6" s="1"/>
  <c r="I34" i="6"/>
  <c r="B38" i="6"/>
  <c r="F38" i="6"/>
  <c r="D12" i="7"/>
  <c r="C24" i="7"/>
  <c r="O13" i="11"/>
  <c r="N16" i="11"/>
  <c r="N22" i="11" s="1"/>
  <c r="N24" i="11" s="1"/>
  <c r="N26" i="11" s="1"/>
  <c r="O17" i="11"/>
  <c r="G23" i="6"/>
  <c r="H26" i="6"/>
  <c r="J34" i="6"/>
  <c r="N15" i="11"/>
  <c r="G34" i="6"/>
  <c r="G33" i="6" s="1"/>
  <c r="N14" i="11"/>
  <c r="E5" i="9" l="1"/>
  <c r="C38" i="6"/>
  <c r="H16" i="6"/>
  <c r="E8" i="7"/>
  <c r="E8" i="4"/>
  <c r="F8" i="4"/>
  <c r="F8" i="7"/>
  <c r="D38" i="6"/>
  <c r="D39" i="6"/>
  <c r="F4" i="12" s="1"/>
  <c r="F6" i="12" s="1"/>
  <c r="I7" i="6"/>
  <c r="I33" i="6" s="1"/>
  <c r="K17" i="6"/>
  <c r="H25" i="6"/>
  <c r="J12" i="7"/>
  <c r="I12" i="7"/>
  <c r="H12" i="7"/>
  <c r="K12" i="7"/>
  <c r="G12" i="7"/>
  <c r="H33" i="6"/>
  <c r="P28" i="11"/>
  <c r="K15" i="1"/>
  <c r="J31" i="6"/>
  <c r="I31" i="6"/>
  <c r="H31" i="6"/>
  <c r="K31" i="6"/>
  <c r="G31" i="6"/>
  <c r="E39" i="6"/>
  <c r="G4" i="12" s="1"/>
  <c r="G6" i="12" s="1"/>
  <c r="H7" i="12" s="1"/>
  <c r="E38" i="6"/>
  <c r="G38" i="6" s="1"/>
  <c r="D23" i="9"/>
  <c r="D16" i="10" s="1"/>
  <c r="D17" i="10" s="1" a="1"/>
  <c r="D11" i="12"/>
  <c r="D15" i="12" s="1" a="1"/>
  <c r="I24" i="7"/>
  <c r="H24" i="7"/>
  <c r="K24" i="7"/>
  <c r="G20" i="7"/>
  <c r="J24" i="7"/>
  <c r="K26" i="7"/>
  <c r="G26" i="7"/>
  <c r="J26" i="7"/>
  <c r="I26" i="7"/>
  <c r="H26" i="7"/>
  <c r="G22" i="6"/>
  <c r="N28" i="11"/>
  <c r="N31" i="11"/>
  <c r="K14" i="1" s="1"/>
  <c r="H10" i="6"/>
  <c r="H13" i="6" s="1"/>
  <c r="H23" i="6"/>
  <c r="I20" i="6"/>
  <c r="G7" i="12" l="1"/>
  <c r="F7" i="12"/>
  <c r="I16" i="6"/>
  <c r="H20" i="7"/>
  <c r="H21" i="7" s="1"/>
  <c r="G19" i="7"/>
  <c r="D9" i="10" s="1"/>
  <c r="I19" i="6"/>
  <c r="J20" i="6"/>
  <c r="G21" i="7"/>
  <c r="G22" i="7" s="1"/>
  <c r="H18" i="7" s="1"/>
  <c r="K38" i="6"/>
  <c r="H22" i="6"/>
  <c r="I23" i="6"/>
  <c r="I38" i="6"/>
  <c r="H38" i="6"/>
  <c r="G30" i="6"/>
  <c r="D8" i="10" s="1"/>
  <c r="J38" i="6"/>
  <c r="J7" i="6"/>
  <c r="I25" i="6"/>
  <c r="I10" i="6"/>
  <c r="I13" i="6" s="1"/>
  <c r="H30" i="6" l="1"/>
  <c r="E8" i="10" s="1"/>
  <c r="J19" i="6"/>
  <c r="I22" i="6"/>
  <c r="J23" i="6"/>
  <c r="J22" i="6" s="1"/>
  <c r="H35" i="6"/>
  <c r="G35" i="6"/>
  <c r="H19" i="7"/>
  <c r="E9" i="10" s="1"/>
  <c r="H22" i="7"/>
  <c r="I18" i="7" s="1"/>
  <c r="I20" i="7"/>
  <c r="K7" i="6"/>
  <c r="J25" i="6"/>
  <c r="J10" i="6"/>
  <c r="J13" i="6" s="1"/>
  <c r="J16" i="6"/>
  <c r="J33" i="6"/>
  <c r="K20" i="6"/>
  <c r="J20" i="7" l="1"/>
  <c r="K33" i="6"/>
  <c r="K25" i="6"/>
  <c r="K10" i="6"/>
  <c r="K13" i="6" s="1"/>
  <c r="K16" i="6"/>
  <c r="K19" i="6"/>
  <c r="I19" i="7"/>
  <c r="F9" i="10" s="1"/>
  <c r="I30" i="6"/>
  <c r="F8" i="10" s="1"/>
  <c r="I21" i="7"/>
  <c r="I22" i="7" s="1"/>
  <c r="J18" i="7" s="1"/>
  <c r="H36" i="6"/>
  <c r="G36" i="6"/>
  <c r="K23" i="6"/>
  <c r="K22" i="6" s="1"/>
  <c r="I35" i="6" l="1"/>
  <c r="K20" i="7"/>
  <c r="E5" i="10"/>
  <c r="H37" i="6"/>
  <c r="E6" i="10" s="1"/>
  <c r="D5" i="10"/>
  <c r="G37" i="6"/>
  <c r="D6" i="10" s="1"/>
  <c r="J19" i="7"/>
  <c r="G9" i="10" s="1"/>
  <c r="J21" i="7"/>
  <c r="J22" i="7" s="1"/>
  <c r="K18" i="7" s="1"/>
  <c r="J30" i="6"/>
  <c r="I36" i="6" l="1"/>
  <c r="H39" i="6"/>
  <c r="J4" i="12" s="1"/>
  <c r="J6" i="12" s="1"/>
  <c r="G8" i="10"/>
  <c r="J35" i="6"/>
  <c r="D7" i="10"/>
  <c r="G39" i="6"/>
  <c r="I4" i="12" s="1"/>
  <c r="I6" i="12" s="1"/>
  <c r="F5" i="10"/>
  <c r="I37" i="6"/>
  <c r="F6" i="10" s="1"/>
  <c r="E7" i="10"/>
  <c r="K19" i="7"/>
  <c r="H9" i="10" s="1"/>
  <c r="K21" i="7"/>
  <c r="K22" i="7" s="1"/>
  <c r="K30" i="6"/>
  <c r="J7" i="12" l="1"/>
  <c r="I7" i="12"/>
  <c r="H8" i="10"/>
  <c r="K35" i="6"/>
  <c r="J36" i="6"/>
  <c r="F7" i="10"/>
  <c r="I39" i="6"/>
  <c r="K4" i="12" s="1"/>
  <c r="K6" i="12" s="1"/>
  <c r="K7" i="12" l="1"/>
  <c r="K36" i="6"/>
  <c r="G5" i="10"/>
  <c r="J37" i="6"/>
  <c r="G6" i="10" s="1"/>
  <c r="J39" i="6" l="1"/>
  <c r="L4" i="12" s="1"/>
  <c r="L6" i="12" s="1"/>
  <c r="L7" i="12" s="1"/>
  <c r="H5" i="10"/>
  <c r="K37" i="6"/>
  <c r="H6" i="10" s="1"/>
  <c r="G7" i="10"/>
  <c r="K39" i="6" l="1"/>
  <c r="M4" i="12" s="1"/>
  <c r="M6" i="12" s="1"/>
  <c r="H7" i="10"/>
  <c r="D13" i="12" l="1"/>
  <c r="D14" i="12" s="1"/>
  <c r="M7" i="12"/>
  <c r="D15" i="12"/>
  <c r="D16" i="12" l="1"/>
  <c r="G7" i="7" l="1"/>
  <c r="G8" i="7" s="1"/>
  <c r="D10" i="10" s="1"/>
  <c r="D11" i="10" s="1"/>
  <c r="H7" i="7"/>
  <c r="I7" i="7"/>
  <c r="J7" i="7"/>
  <c r="K7" i="7"/>
  <c r="K8" i="7" s="1"/>
  <c r="H10" i="10" s="1"/>
  <c r="H11" i="10" s="1"/>
  <c r="D19" i="10" s="1"/>
  <c r="D20" i="10" s="1"/>
  <c r="J8" i="7" l="1"/>
  <c r="G10" i="10" s="1"/>
  <c r="G11" i="10" s="1"/>
  <c r="I8" i="7"/>
  <c r="F10" i="10" s="1"/>
  <c r="F11" i="10" s="1"/>
  <c r="H8" i="7"/>
  <c r="E10" i="10" s="1"/>
  <c r="E11" i="10" s="1"/>
  <c r="D17" i="10" s="1"/>
  <c r="D21" i="10" s="1"/>
  <c r="D23" i="10" s="1"/>
  <c r="D25" i="10" s="1"/>
  <c r="L15" i="10" s="1"/>
  <c r="K13" i="1" l="1"/>
  <c r="K17" i="1" s="1"/>
  <c r="K19" i="1" s="1"/>
  <c r="K20" i="1" s="1"/>
  <c r="L16" i="10"/>
</calcChain>
</file>

<file path=xl/sharedStrings.xml><?xml version="1.0" encoding="utf-8"?>
<sst xmlns="http://schemas.openxmlformats.org/spreadsheetml/2006/main" count="351" uniqueCount="284">
  <si>
    <t>Index</t>
  </si>
  <si>
    <t>Valuation Method</t>
  </si>
  <si>
    <t>Share Price</t>
  </si>
  <si>
    <t>Weightage</t>
  </si>
  <si>
    <t>S.No.</t>
  </si>
  <si>
    <t>Sheet</t>
  </si>
  <si>
    <t>DCF Valuation</t>
  </si>
  <si>
    <t>Drivers</t>
  </si>
  <si>
    <t>Relative Valutation (Enterprise Multiple)</t>
  </si>
  <si>
    <t>Balancesheet</t>
  </si>
  <si>
    <t>Relative Valutation (Equity Multiple)</t>
  </si>
  <si>
    <t>Cash Flow</t>
  </si>
  <si>
    <t>Assumptions and Analysis</t>
  </si>
  <si>
    <t>Profit&amp;Loss Forecast</t>
  </si>
  <si>
    <t>Current Market Price (CMP)</t>
  </si>
  <si>
    <t>Working Capital&amp;Capex</t>
  </si>
  <si>
    <t>Upside/(Downside)</t>
  </si>
  <si>
    <t>Beta</t>
  </si>
  <si>
    <t>Recommendation</t>
  </si>
  <si>
    <t>WACC</t>
  </si>
  <si>
    <t>DCF</t>
  </si>
  <si>
    <t>Relative Valuation</t>
  </si>
  <si>
    <t>DDM</t>
  </si>
  <si>
    <t>Company</t>
  </si>
  <si>
    <t>Concord Biotech Ltd</t>
  </si>
  <si>
    <t>Currency</t>
  </si>
  <si>
    <t>INR</t>
  </si>
  <si>
    <t>Domestic Country</t>
  </si>
  <si>
    <t>India</t>
  </si>
  <si>
    <t>Corporate Tax rate</t>
  </si>
  <si>
    <t>Reasons to choose</t>
  </si>
  <si>
    <t xml:space="preserve">Pharma Industry currently navigating a period of significant change, driven by a convergence of global geopolitical shifts and rapid technological advancements. </t>
  </si>
  <si>
    <t>Niche Market Leadership(Ferementation based Products)</t>
  </si>
  <si>
    <t>Net Debt Free Company and Historical Good Return</t>
  </si>
  <si>
    <t>Growth-Oriented Investments</t>
  </si>
  <si>
    <t>Nuanced Financial Story</t>
  </si>
  <si>
    <t>Source: Annual Report</t>
  </si>
  <si>
    <t>Particulars</t>
  </si>
  <si>
    <t>ASSETS</t>
  </si>
  <si>
    <t>(1) Non-current Assets</t>
  </si>
  <si>
    <t>Property, Plant and Equipment</t>
  </si>
  <si>
    <t>Capital Work in progress</t>
  </si>
  <si>
    <t>Other Intangible Assets</t>
  </si>
  <si>
    <t>Right of use assets</t>
  </si>
  <si>
    <t>Intangible Assets under development</t>
  </si>
  <si>
    <t>Financial Assets</t>
  </si>
  <si>
    <t>(i) Investments</t>
  </si>
  <si>
    <t>(ii) Other Financial Assets</t>
  </si>
  <si>
    <t>Other Non- Current Assets</t>
  </si>
  <si>
    <t>Income Tax assets(net)</t>
  </si>
  <si>
    <t>Total Non Current Assets(A)</t>
  </si>
  <si>
    <t>(2) Current Assets</t>
  </si>
  <si>
    <t>Inventories</t>
  </si>
  <si>
    <t>(ii) Trade Receivables</t>
  </si>
  <si>
    <t>(iii) Cash and cash equivalents</t>
  </si>
  <si>
    <t>(iv) Bank balances other than(iii)</t>
  </si>
  <si>
    <t>(v) Other Financial Assets</t>
  </si>
  <si>
    <t>Other current assets</t>
  </si>
  <si>
    <t>Total Current Assets</t>
  </si>
  <si>
    <t>Total assets</t>
  </si>
  <si>
    <t>Equity and Liabilities</t>
  </si>
  <si>
    <t xml:space="preserve">Equity </t>
  </si>
  <si>
    <t>(a) Equity Share Capital</t>
  </si>
  <si>
    <t>(b) Other Equity</t>
  </si>
  <si>
    <t>Total Equity(A)</t>
  </si>
  <si>
    <t>LIABILITIES</t>
  </si>
  <si>
    <t>I. Non-current liabilities</t>
  </si>
  <si>
    <t>(a) Financial Liabilities</t>
  </si>
  <si>
    <t>(i) Borrowings</t>
  </si>
  <si>
    <t>(ii) Lease Liabilities</t>
  </si>
  <si>
    <t>(b) Provisions</t>
  </si>
  <si>
    <t>(c) Deferred Tax Liabilities</t>
  </si>
  <si>
    <t>Total Non Current Liabilities(B)</t>
  </si>
  <si>
    <t>II. Current Liabilities</t>
  </si>
  <si>
    <t>(iii) Trade Payables</t>
  </si>
  <si>
    <t>(iv) Other Financial Liabilities</t>
  </si>
  <si>
    <t>(c) Other current liabilities</t>
  </si>
  <si>
    <t>(d) Current tax liabilities</t>
  </si>
  <si>
    <t>TOTAL Current Liabilities(C)</t>
  </si>
  <si>
    <t>Total Liabilities(D)</t>
  </si>
  <si>
    <t>TOTAL EQUITY &amp; LIABILITIES(A)+(D)</t>
  </si>
  <si>
    <t>SCREENER.IN</t>
  </si>
  <si>
    <t>Narration</t>
  </si>
  <si>
    <t>Cash from Operating Activity</t>
  </si>
  <si>
    <t>Cash from Investing Activity</t>
  </si>
  <si>
    <t>Cash from Financing Activity</t>
  </si>
  <si>
    <t>Net Cash Flow</t>
  </si>
  <si>
    <t>2,74</t>
  </si>
  <si>
    <t>Changes in w.c</t>
  </si>
  <si>
    <t>Capex</t>
  </si>
  <si>
    <t>About the Stock</t>
  </si>
  <si>
    <t>(i)</t>
  </si>
  <si>
    <t>Supplies to 70+ countries including the U.S., EU, Japan, and emerging markets.</t>
  </si>
  <si>
    <t>(ii)</t>
  </si>
  <si>
    <t>Biopharmaceutical company specializing in fermentation-based APIs (Active Pharmaceutical Ingredients) and formulations</t>
  </si>
  <si>
    <t>(iii)</t>
  </si>
  <si>
    <t>Plays into “China+1” strategy as global pharma looks to diversify supply chains.</t>
  </si>
  <si>
    <t>Performance Highlights:</t>
  </si>
  <si>
    <t>Very strong FY2025: +18% YoY full-year revenue, high profitability, and substantial dividend payout.</t>
  </si>
  <si>
    <t>Q4 surges: Exceptional momentum in the final quarter (+35% revenue, +48% PAT, increased margins).</t>
  </si>
  <si>
    <t>Quarterly contrast: Q3 was a lull, with flat revenue and reduced margins.</t>
  </si>
  <si>
    <t>(iv)</t>
  </si>
  <si>
    <t>Dividend focus: Final dividend of ₹10.70 per share reflects strong cash flow and shareholder returns.</t>
  </si>
  <si>
    <t>Key Triggers for Future Performance:</t>
  </si>
  <si>
    <t>Global Biotechnology market is poised for explosive growth.</t>
  </si>
  <si>
    <t>The company has commissioned a new injectable manufacturing facility, established two new subsidiaries (Stellon Biotech in the U.S. and Concord Lifegen in India) to strengthen its market presence, and invested in a U.S.-based rare disease company.</t>
  </si>
  <si>
    <t>India's Bioe3 policy and increased budgetary allocations signal a supportive regulatory environment that provides "favourable impetus" for the sector's growth.</t>
  </si>
  <si>
    <t>Recent Events and key Risks:</t>
  </si>
  <si>
    <t xml:space="preserve">The company successfully commissioned and began commercial production at a new state-of-the-art injectable facility at Valthera in Q4 FY25. </t>
  </si>
  <si>
    <t>a robust pipeline of more than 10 new API products planned for commissioning over the next 5-7 years.</t>
  </si>
  <si>
    <t>Other Highlights:</t>
  </si>
  <si>
    <t>Concord’s new Valthera injectable plant (commissioned Q4 FY25), USFDA approval of teriflunomide tablets (7 mg/14 mg) opening a ~$402 M US market, expansion into the US/EU via a new marketing arm, and a ramp-up of CDMO contracts are key growth drivers.</t>
  </si>
  <si>
    <t>Two new fermentation APIs were commercialized in FY2024 (immunosuppressant &amp; anti-infective). The API portfolio now counts 30 products, with 10+ more in development.</t>
  </si>
  <si>
    <t>The company has begun small contract-manufacturing supply to a U.S. customer (H1 FY26) This diversifies revenue but likely at lower margins.</t>
  </si>
  <si>
    <t>The Limbasi campus (Gujarat) has 800 m³ fermentation capacity and was inspected/approved by FDA. Utilization is currently ~30–35%. Management notes 170 acres are available for future growth, implying potential new fermentation lines later if demand warrants.</t>
  </si>
  <si>
    <t>Assumptions:</t>
  </si>
  <si>
    <t>Weekly return of Nifty 500 for past 2 years has been taken to calculate market return and beta because risk free rate has also been taken for past 10-yr govt bond yield( as of 25th august, 2025)</t>
  </si>
  <si>
    <t>(v)</t>
  </si>
  <si>
    <t>(vi)</t>
  </si>
  <si>
    <t>(vii)</t>
  </si>
  <si>
    <t>Other income has been taken as average of past 5 years.</t>
  </si>
  <si>
    <t>(viii)</t>
  </si>
  <si>
    <t>Historical Results</t>
  </si>
  <si>
    <t>Forcasted period</t>
  </si>
  <si>
    <t>Income</t>
  </si>
  <si>
    <t>Revenue from Operations</t>
  </si>
  <si>
    <t>y-o-y growth %</t>
  </si>
  <si>
    <t>Other Income</t>
  </si>
  <si>
    <t>% of revenue</t>
  </si>
  <si>
    <t xml:space="preserve">TOTAL INCOME </t>
  </si>
  <si>
    <t>Expenses</t>
  </si>
  <si>
    <t>Cost of materials consumed</t>
  </si>
  <si>
    <t>Purchases of stock in-trade</t>
  </si>
  <si>
    <t>Changes in inventories of finished goods, work-in -progress and stock-in-trade</t>
  </si>
  <si>
    <t>Employee benefits expense</t>
  </si>
  <si>
    <t>Finance costs</t>
  </si>
  <si>
    <t>Depreciation and Amortization expense</t>
  </si>
  <si>
    <t>% of fixed assets</t>
  </si>
  <si>
    <t>Other expenses</t>
  </si>
  <si>
    <t>Total Expenses</t>
  </si>
  <si>
    <t>PROFIT BEFORE TAX</t>
  </si>
  <si>
    <t>Tax Expenses</t>
  </si>
  <si>
    <t>% of PBT</t>
  </si>
  <si>
    <t>PROFIT AFTER TAX</t>
  </si>
  <si>
    <t>Working Capital</t>
  </si>
  <si>
    <t>Particular</t>
  </si>
  <si>
    <t>Inventory</t>
  </si>
  <si>
    <t>Trade Receivables</t>
  </si>
  <si>
    <t>Trade Payables</t>
  </si>
  <si>
    <t>Change in WC</t>
  </si>
  <si>
    <t>KPIs</t>
  </si>
  <si>
    <t>Inventory days (DIO)</t>
  </si>
  <si>
    <t>Trade receivable days (DSO)</t>
  </si>
  <si>
    <t>Trade payable days (DPO)</t>
  </si>
  <si>
    <t>Capex Schedule</t>
  </si>
  <si>
    <t>Beginning PPE</t>
  </si>
  <si>
    <t>[+] Capex</t>
  </si>
  <si>
    <t>Total Fixed Assets</t>
  </si>
  <si>
    <t>[-] Less Depreciation</t>
  </si>
  <si>
    <t>Ending PPE (Closing Balance)</t>
  </si>
  <si>
    <t>Fixed Asset turnover ratio</t>
  </si>
  <si>
    <t>Dep as % of PPE
Rough work (to verify)</t>
  </si>
  <si>
    <t>Source: Investing.com</t>
  </si>
  <si>
    <t>Concord Biotech Ltd. Weekly returns</t>
  </si>
  <si>
    <t>Nifty 500 Weekly returns</t>
  </si>
  <si>
    <t>Date</t>
  </si>
  <si>
    <t>Price</t>
  </si>
  <si>
    <t>Weeky Return</t>
  </si>
  <si>
    <t>2-yr weekly return</t>
  </si>
  <si>
    <t>Rm(Market Return)</t>
  </si>
  <si>
    <t>Rf(Risk free rate of return)</t>
  </si>
  <si>
    <t>Current capital structure</t>
  </si>
  <si>
    <t>Market Value</t>
  </si>
  <si>
    <t>Ratio</t>
  </si>
  <si>
    <t># of outstanding shares</t>
  </si>
  <si>
    <t>Equity</t>
  </si>
  <si>
    <t>Debt</t>
  </si>
  <si>
    <t>Equity + Debt</t>
  </si>
  <si>
    <t xml:space="preserve">Cost of equity </t>
  </si>
  <si>
    <t xml:space="preserve">Reference </t>
  </si>
  <si>
    <t>Rf</t>
  </si>
  <si>
    <t>10 Year Government Bond Yield (as of 25th August 2025)</t>
  </si>
  <si>
    <t>Rm</t>
  </si>
  <si>
    <t>Nifty 500</t>
  </si>
  <si>
    <t>Regression analysis of returns v/s Nifty 500 returns</t>
  </si>
  <si>
    <t>Ke</t>
  </si>
  <si>
    <t>Rf+B(Rm-Rf)</t>
  </si>
  <si>
    <t>Cost of debt (Post-Tax)</t>
  </si>
  <si>
    <t>Cost of debt (kd)</t>
  </si>
  <si>
    <t>Indian mid-cap pharma/biotech firms without major leverage typically borrow at 8–10% p.a. in INR.</t>
  </si>
  <si>
    <t>Tax rate</t>
  </si>
  <si>
    <t>Annual report( also average tax rate over the yeas hovers around 25%)</t>
  </si>
  <si>
    <t>Kd (post tax)</t>
  </si>
  <si>
    <t>Free Cashflow to the firm (FCFF)</t>
  </si>
  <si>
    <t>EBIT</t>
  </si>
  <si>
    <t>Tax</t>
  </si>
  <si>
    <t>EBIT - Tax (NOPAT)</t>
  </si>
  <si>
    <t>[+] Depreciation</t>
  </si>
  <si>
    <t>[-] Capex</t>
  </si>
  <si>
    <t>[-] Net change in WC</t>
  </si>
  <si>
    <t>FCFF</t>
  </si>
  <si>
    <t>Discounted Cash Flow Valuation</t>
  </si>
  <si>
    <t>Current Market Price</t>
  </si>
  <si>
    <t>DCF Valuation Price</t>
  </si>
  <si>
    <t>Upside/(Downside) Potential</t>
  </si>
  <si>
    <t>PV of FCFF</t>
  </si>
  <si>
    <t>Terminal/Perpetuity Growth rate</t>
  </si>
  <si>
    <t>Terminal Value</t>
  </si>
  <si>
    <t>PV of Terminal Value</t>
  </si>
  <si>
    <t>Enterprise Value</t>
  </si>
  <si>
    <t>Net Debt (including cash and cash equivalent)</t>
  </si>
  <si>
    <t>Equity Value</t>
  </si>
  <si>
    <t>Number of Shares outstanding (in Cr)</t>
  </si>
  <si>
    <t>Target Price per share</t>
  </si>
  <si>
    <t>RELATIVE VALUATION</t>
  </si>
  <si>
    <t>Company Name</t>
  </si>
  <si>
    <t>Market Data</t>
  </si>
  <si>
    <t>Financial Data 2024-2025</t>
  </si>
  <si>
    <t>Valuation 2024-2025</t>
  </si>
  <si>
    <t>Market Cap</t>
  </si>
  <si>
    <t>Net Debt</t>
  </si>
  <si>
    <t>EV</t>
  </si>
  <si>
    <t>Shares Outstanding</t>
  </si>
  <si>
    <t>Sales</t>
  </si>
  <si>
    <t>EBITDA</t>
  </si>
  <si>
    <t>Earnings</t>
  </si>
  <si>
    <t>Book Value per share</t>
  </si>
  <si>
    <t>EV/Sales</t>
  </si>
  <si>
    <t>EV/EBITDA</t>
  </si>
  <si>
    <t>P/E</t>
  </si>
  <si>
    <t>P/B</t>
  </si>
  <si>
    <t>(INR/share)</t>
  </si>
  <si>
    <t>(Cr)</t>
  </si>
  <si>
    <t xml:space="preserve">17936.50	</t>
  </si>
  <si>
    <t xml:space="preserve">17938.29	</t>
  </si>
  <si>
    <t xml:space="preserve">50.4x	</t>
  </si>
  <si>
    <t>Sun Pharma.Inds.</t>
  </si>
  <si>
    <t xml:space="preserve">394306.94	</t>
  </si>
  <si>
    <t>Zydus Lifesci.</t>
  </si>
  <si>
    <t xml:space="preserve">99461.11	</t>
  </si>
  <si>
    <t xml:space="preserve">99717.51	</t>
  </si>
  <si>
    <t xml:space="preserve">21.36	</t>
  </si>
  <si>
    <t>Mankind Pharma</t>
  </si>
  <si>
    <t>Cipla</t>
  </si>
  <si>
    <t xml:space="preserve">128659.07	</t>
  </si>
  <si>
    <t>High</t>
  </si>
  <si>
    <t>75th Percentile</t>
  </si>
  <si>
    <t>Average</t>
  </si>
  <si>
    <t>Median</t>
  </si>
  <si>
    <t>25th Percentile</t>
  </si>
  <si>
    <t>Low</t>
  </si>
  <si>
    <t>Concord Biotech Ltd.</t>
  </si>
  <si>
    <t>Implied Enterprise Value</t>
  </si>
  <si>
    <t>Implied Market value</t>
  </si>
  <si>
    <t>Shares  outstanding</t>
  </si>
  <si>
    <t>Implied Value Per Share</t>
  </si>
  <si>
    <t>Source: Screener.in</t>
  </si>
  <si>
    <t>Enterprise Multiple</t>
  </si>
  <si>
    <t>Equity Multiple</t>
  </si>
  <si>
    <t>Value</t>
  </si>
  <si>
    <t>Dividend Discount Model</t>
  </si>
  <si>
    <t>EPS</t>
  </si>
  <si>
    <t>Dividend Payout ratio</t>
  </si>
  <si>
    <t>Dividend per share</t>
  </si>
  <si>
    <t>Dividend Growth</t>
  </si>
  <si>
    <t>Values</t>
  </si>
  <si>
    <t>Return of Equity (Re)</t>
  </si>
  <si>
    <t>Growth Rate (g)</t>
  </si>
  <si>
    <t>Present Value of Terminal Value</t>
  </si>
  <si>
    <t>Present Value of Future Dividends</t>
  </si>
  <si>
    <t>Intrinsic Value of share price (as per DDM)</t>
  </si>
  <si>
    <t>Important Inference:-</t>
  </si>
  <si>
    <t>1. As we can see above in the calculation table, the "Dividend Growth Rate" is fluctuating drastically every year for the past 6 years. Hence, using the DDM model for valuation in this particular case might not generate the required results.</t>
  </si>
  <si>
    <t>Balancesheet(in crore rupees)</t>
  </si>
  <si>
    <t>INCOME STATEMENT(in rupee crores)</t>
  </si>
  <si>
    <t>COGS</t>
  </si>
  <si>
    <t>Share price (as of 25th August 2025)</t>
  </si>
  <si>
    <t>Given the company's negligible debt relative to its equity value, WACC is approximately equal to the cost of equity.</t>
  </si>
  <si>
    <t>Revenue growth assumptions are based on identified future performance drivers like the global market's explosive growth, increasing prevalance of chronic diseases, growing demand for personalized medicine</t>
  </si>
  <si>
    <t>Four comparable companies were selected based on market capitalization, business exposure and availability of comparable valuation data.</t>
  </si>
  <si>
    <t>Company is going concern and terminal growth rate has been assumed to be 4% because the global pharmaceutical industry is expected to grow at 4–6% CAGR long term, Indian pharma at 8–10% (but Concord is already niche, so can’t sustain 8% forever).</t>
  </si>
  <si>
    <t>Final Blended Fair Value</t>
  </si>
  <si>
    <t>Historical operating expenses have remained broadly stable as a percentage of revenue over the past 4–5 years; therefore, the historical average percentage has been used for forecasting.</t>
  </si>
  <si>
    <t>Fixed Asset Turnover Ratio: Historical average of 1.145×.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</si>
</sst>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₹&quot;\ #,##0.00;[Red]&quot;₹&quot;\ \-#,##0.00"/>
    <numFmt numFmtId="43" formatCode="_ * #,##0.00_ ;_ * \-#,##0.00_ ;_ * &quot;-&quot;??_ ;_ @_ "/>
    <numFmt numFmtId="164" formatCode="[$-409]mmm\-yy"/>
    <numFmt numFmtId="165" formatCode="0.0%"/>
    <numFmt numFmtId="166" formatCode="0.000000000000000"/>
    <numFmt numFmtId="167" formatCode="_(* #,##0.0_);_(* \(#,##0.0\);_(* &quot;-&quot;?_);@_)"/>
    <numFmt numFmtId="168" formatCode="0.0\X"/>
    <numFmt numFmtId="169" formatCode="0.0\x"/>
    <numFmt numFmtId="170" formatCode="0.0"/>
    <numFmt numFmtId="171" formatCode="_ * #,##0.0_ ;_ * \-#,##0.0_ ;_ * &quot;-&quot;??_ ;_ @_ "/>
    <numFmt numFmtId="172" formatCode="_ * #,##0.0_ ;_ * \-#,##0.0_ ;_ * &quot;-&quot;?_ ;_ @_ "/>
    <numFmt numFmtId="173" formatCode="_ [$₹-4009]\ * #,##0.00_ ;_ [$₹-4009]\ * \-#,##0.00_ ;_ [$₹-4009]\ * &quot;-&quot;??_ ;_ @_ "/>
  </numFmts>
  <fonts count="52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rgb="FF002060"/>
      <name val="Calibri"/>
      <family val="2"/>
    </font>
    <font>
      <sz val="11"/>
      <name val="Calibri"/>
      <family val="2"/>
    </font>
    <font>
      <b/>
      <sz val="12"/>
      <color rgb="FFD3DFEF"/>
      <name val="Calibri"/>
      <family val="2"/>
    </font>
    <font>
      <sz val="14"/>
      <color theme="1"/>
      <name val="Calibri"/>
      <family val="2"/>
    </font>
    <font>
      <u/>
      <sz val="11"/>
      <color theme="10"/>
      <name val="Calibri"/>
      <family val="2"/>
    </font>
    <font>
      <b/>
      <sz val="14"/>
      <color rgb="FFD3DFEF"/>
      <name val="Calibri"/>
      <family val="2"/>
    </font>
    <font>
      <b/>
      <sz val="14"/>
      <color theme="1"/>
      <name val="Calibri"/>
      <family val="2"/>
    </font>
    <font>
      <b/>
      <i/>
      <sz val="20"/>
      <color theme="1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4"/>
      <color theme="1"/>
      <name val="Calibri"/>
      <family val="2"/>
    </font>
    <font>
      <b/>
      <u/>
      <sz val="11"/>
      <color theme="1"/>
      <name val="Calibri"/>
      <family val="2"/>
    </font>
    <font>
      <b/>
      <sz val="12"/>
      <color rgb="FFF8F8F8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rgb="FF3019BD"/>
      <name val="Calibri"/>
      <family val="2"/>
    </font>
    <font>
      <b/>
      <i/>
      <sz val="12"/>
      <color theme="1"/>
      <name val="Calibri"/>
      <family val="2"/>
    </font>
    <font>
      <i/>
      <sz val="12"/>
      <color theme="1"/>
      <name val="Calibri"/>
      <family val="2"/>
    </font>
    <font>
      <sz val="14"/>
      <color rgb="FF002060"/>
      <name val="Calibri"/>
      <family val="2"/>
    </font>
    <font>
      <b/>
      <sz val="11"/>
      <color rgb="FF002060"/>
      <name val="Calibri"/>
      <family val="2"/>
    </font>
    <font>
      <b/>
      <sz val="11"/>
      <color rgb="FFFEF2CB"/>
      <name val="Calibri"/>
      <family val="2"/>
    </font>
    <font>
      <b/>
      <sz val="12"/>
      <color rgb="FFFEF2CB"/>
      <name val="Calibri"/>
      <family val="2"/>
    </font>
    <font>
      <sz val="12"/>
      <color theme="1"/>
      <name val="Calibri"/>
      <family val="2"/>
    </font>
    <font>
      <b/>
      <sz val="12"/>
      <color rgb="FF002060"/>
      <name val="Calibri"/>
      <family val="2"/>
    </font>
    <font>
      <b/>
      <sz val="18"/>
      <color rgb="FF002060"/>
      <name val="Calibri"/>
      <family val="2"/>
    </font>
    <font>
      <b/>
      <sz val="11"/>
      <color rgb="FFD3DFEF"/>
      <name val="Arial"/>
      <family val="2"/>
    </font>
    <font>
      <b/>
      <sz val="12"/>
      <color rgb="FF000000"/>
      <name val="Arial"/>
      <family val="2"/>
    </font>
    <font>
      <sz val="11"/>
      <color rgb="FF000000"/>
      <name val="Calibri"/>
      <family val="2"/>
    </font>
    <font>
      <b/>
      <sz val="11"/>
      <color rgb="FFD3DFEF"/>
      <name val="Calibri"/>
      <family val="2"/>
    </font>
    <font>
      <sz val="10"/>
      <color theme="1"/>
      <name val="Arial"/>
      <family val="2"/>
    </font>
    <font>
      <b/>
      <sz val="20"/>
      <color rgb="FFFFFFFF"/>
      <name val="Arial Narrow"/>
      <family val="2"/>
    </font>
    <font>
      <b/>
      <sz val="13"/>
      <color rgb="FFFFFFFF"/>
      <name val="Arial Narrow"/>
      <family val="2"/>
    </font>
    <font>
      <i/>
      <sz val="13"/>
      <color rgb="FFFFFFFF"/>
      <name val="Arial Narrow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</font>
    <font>
      <sz val="11"/>
      <color rgb="FF22222F"/>
      <name val="Calibri"/>
      <family val="2"/>
    </font>
    <font>
      <sz val="11"/>
      <color theme="1"/>
      <name val="Calibri"/>
      <family val="2"/>
      <scheme val="minor"/>
    </font>
    <font>
      <b/>
      <sz val="13"/>
      <color rgb="FFF8F8F8"/>
      <name val="Arial Narrow"/>
      <family val="2"/>
    </font>
    <font>
      <b/>
      <sz val="13"/>
      <color theme="1"/>
      <name val="Arial Narrow"/>
      <family val="2"/>
    </font>
    <font>
      <b/>
      <sz val="13"/>
      <color theme="1"/>
      <name val="Arial"/>
      <family val="2"/>
    </font>
    <font>
      <b/>
      <sz val="13"/>
      <color rgb="FF00B050"/>
      <name val="Arial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6"/>
      <color rgb="FF002060"/>
      <name val="Calibri"/>
      <family val="2"/>
    </font>
    <font>
      <i/>
      <sz val="12"/>
      <color rgb="FFA5A5A5"/>
      <name val="Calibri"/>
      <family val="2"/>
    </font>
    <font>
      <b/>
      <i/>
      <u/>
      <sz val="14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3DFEF"/>
        <bgColor rgb="FFD3DFEF"/>
      </patternFill>
    </fill>
    <fill>
      <patternFill patternType="solid">
        <fgColor rgb="FF002060"/>
        <bgColor rgb="FF002060"/>
      </patternFill>
    </fill>
    <fill>
      <patternFill patternType="solid">
        <fgColor rgb="FFD4A7B0"/>
        <bgColor rgb="FFD4A7B0"/>
      </patternFill>
    </fill>
    <fill>
      <patternFill patternType="solid">
        <fgColor rgb="FFFFC000"/>
        <bgColor rgb="FFFFC000"/>
      </patternFill>
    </fill>
    <fill>
      <patternFill patternType="solid">
        <fgColor rgb="FFA8BFDF"/>
        <bgColor rgb="FFA8BFDF"/>
      </patternFill>
    </fill>
    <fill>
      <patternFill patternType="solid">
        <fgColor rgb="FF0275D8"/>
        <bgColor rgb="FF0275D8"/>
      </patternFill>
    </fill>
    <fill>
      <patternFill patternType="solid">
        <fgColor rgb="FFF2A176"/>
        <bgColor rgb="FFF2A176"/>
      </patternFill>
    </fill>
    <fill>
      <patternFill patternType="solid">
        <fgColor rgb="FF7C9FCF"/>
        <bgColor rgb="FF7C9FCF"/>
      </patternFill>
    </fill>
    <fill>
      <patternFill patternType="solid">
        <fgColor rgb="FFFFFF00"/>
        <bgColor rgb="FFFFFF00"/>
      </patternFill>
    </fill>
    <fill>
      <patternFill patternType="solid">
        <fgColor rgb="FF227ACB"/>
        <bgColor rgb="FF227ACB"/>
      </patternFill>
    </fill>
    <fill>
      <patternFill patternType="solid">
        <fgColor rgb="FFFEF2CB"/>
        <bgColor rgb="FFFEF2CB"/>
      </patternFill>
    </fill>
    <fill>
      <patternFill patternType="solid">
        <fgColor theme="6"/>
        <bgColor theme="6"/>
      </patternFill>
    </fill>
    <fill>
      <patternFill patternType="solid">
        <fgColor rgb="FFFF9900"/>
        <bgColor rgb="FFFF9900"/>
      </patternFill>
    </fill>
    <fill>
      <patternFill patternType="solid">
        <fgColor rgb="FFF8F8FC"/>
        <bgColor rgb="FFF8F8FC"/>
      </patternFill>
    </fill>
    <fill>
      <patternFill patternType="solid">
        <fgColor rgb="FFFADFD1"/>
        <bgColor rgb="FFFADFD1"/>
      </patternFill>
    </fill>
    <fill>
      <patternFill patternType="solid">
        <fgColor rgb="FFFFFFFF"/>
        <bgColor rgb="FFFFFFFF"/>
      </patternFill>
    </fill>
    <fill>
      <patternFill patternType="solid">
        <fgColor rgb="FFEB757B"/>
        <bgColor rgb="FFEB757B"/>
      </patternFill>
    </fill>
    <fill>
      <patternFill patternType="solid">
        <fgColor theme="5" tint="0.39997558519241921"/>
        <bgColor indexed="64"/>
      </patternFill>
    </fill>
  </fills>
  <borders count="7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rgb="FF000000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rgb="FF000000"/>
      </bottom>
      <diagonal/>
    </border>
    <border>
      <left style="thin">
        <color rgb="FF000000"/>
      </left>
      <right style="thin">
        <color theme="1"/>
      </right>
      <top style="thin">
        <color theme="1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theme="1"/>
      </left>
      <right style="thin">
        <color rgb="FF000000"/>
      </right>
      <top/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  <diagonal/>
    </border>
    <border>
      <left style="thin">
        <color rgb="FF000000"/>
      </left>
      <right style="thin">
        <color theme="1"/>
      </right>
      <top style="thin">
        <color rgb="FF000000"/>
      </top>
      <bottom style="thin">
        <color theme="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280">
    <xf numFmtId="0" fontId="0" fillId="0" borderId="0" xfId="0"/>
    <xf numFmtId="0" fontId="1" fillId="2" borderId="1" xfId="0" applyFont="1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left"/>
    </xf>
    <xf numFmtId="2" fontId="5" fillId="0" borderId="4" xfId="0" applyNumberFormat="1" applyFont="1" applyBorder="1" applyAlignment="1">
      <alignment horizontal="center"/>
    </xf>
    <xf numFmtId="9" fontId="5" fillId="0" borderId="4" xfId="0" applyNumberFormat="1" applyFont="1" applyBorder="1" applyAlignment="1">
      <alignment horizontal="center"/>
    </xf>
    <xf numFmtId="0" fontId="1" fillId="0" borderId="4" xfId="0" applyFont="1" applyBorder="1"/>
    <xf numFmtId="0" fontId="6" fillId="0" borderId="4" xfId="0" applyFont="1" applyBorder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7" fillId="4" borderId="4" xfId="0" applyFont="1" applyFill="1" applyBorder="1" applyAlignment="1">
      <alignment horizontal="left" vertical="center"/>
    </xf>
    <xf numFmtId="2" fontId="8" fillId="0" borderId="2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5" borderId="4" xfId="0" applyFont="1" applyFill="1" applyBorder="1" applyAlignment="1">
      <alignment horizontal="center"/>
    </xf>
    <xf numFmtId="0" fontId="1" fillId="6" borderId="4" xfId="0" applyFont="1" applyFill="1" applyBorder="1"/>
    <xf numFmtId="0" fontId="1" fillId="7" borderId="4" xfId="0" applyFont="1" applyFill="1" applyBorder="1"/>
    <xf numFmtId="9" fontId="1" fillId="0" borderId="4" xfId="0" applyNumberFormat="1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9" fillId="0" borderId="0" xfId="0" applyFont="1"/>
    <xf numFmtId="0" fontId="10" fillId="8" borderId="1" xfId="0" applyFont="1" applyFill="1" applyBorder="1"/>
    <xf numFmtId="17" fontId="11" fillId="8" borderId="1" xfId="0" applyNumberFormat="1" applyFont="1" applyFill="1" applyBorder="1"/>
    <xf numFmtId="0" fontId="12" fillId="0" borderId="0" xfId="0" applyFont="1"/>
    <xf numFmtId="0" fontId="1" fillId="9" borderId="1" xfId="0" applyFont="1" applyFill="1" applyBorder="1"/>
    <xf numFmtId="4" fontId="1" fillId="0" borderId="0" xfId="0" applyNumberFormat="1" applyFont="1"/>
    <xf numFmtId="0" fontId="13" fillId="0" borderId="0" xfId="0" applyFont="1"/>
    <xf numFmtId="0" fontId="12" fillId="0" borderId="5" xfId="0" applyFont="1" applyBorder="1"/>
    <xf numFmtId="4" fontId="1" fillId="0" borderId="5" xfId="0" applyNumberFormat="1" applyFont="1" applyBorder="1"/>
    <xf numFmtId="0" fontId="12" fillId="0" borderId="6" xfId="0" applyFont="1" applyBorder="1"/>
    <xf numFmtId="4" fontId="1" fillId="0" borderId="6" xfId="0" applyNumberFormat="1" applyFont="1" applyBorder="1"/>
    <xf numFmtId="0" fontId="14" fillId="0" borderId="7" xfId="0" applyFont="1" applyBorder="1"/>
    <xf numFmtId="4" fontId="14" fillId="0" borderId="8" xfId="0" applyNumberFormat="1" applyFont="1" applyBorder="1"/>
    <xf numFmtId="4" fontId="14" fillId="0" borderId="9" xfId="0" applyNumberFormat="1" applyFont="1" applyBorder="1"/>
    <xf numFmtId="0" fontId="1" fillId="10" borderId="1" xfId="0" applyFont="1" applyFill="1" applyBorder="1"/>
    <xf numFmtId="4" fontId="13" fillId="0" borderId="0" xfId="0" applyNumberFormat="1" applyFont="1"/>
    <xf numFmtId="0" fontId="15" fillId="0" borderId="0" xfId="0" applyFont="1"/>
    <xf numFmtId="0" fontId="11" fillId="8" borderId="1" xfId="0" applyFont="1" applyFill="1" applyBorder="1"/>
    <xf numFmtId="164" fontId="11" fillId="8" borderId="1" xfId="0" applyNumberFormat="1" applyFont="1" applyFill="1" applyBorder="1" applyAlignment="1">
      <alignment horizontal="center"/>
    </xf>
    <xf numFmtId="43" fontId="12" fillId="0" borderId="0" xfId="0" applyNumberFormat="1" applyFont="1"/>
    <xf numFmtId="43" fontId="1" fillId="0" borderId="0" xfId="0" applyNumberFormat="1" applyFont="1"/>
    <xf numFmtId="43" fontId="12" fillId="0" borderId="0" xfId="0" applyNumberFormat="1" applyFont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2" fillId="2" borderId="10" xfId="0" applyFont="1" applyFill="1" applyBorder="1"/>
    <xf numFmtId="0" fontId="16" fillId="4" borderId="1" xfId="0" applyFont="1" applyFill="1" applyBorder="1" applyAlignment="1">
      <alignment horizontal="center"/>
    </xf>
    <xf numFmtId="0" fontId="2" fillId="0" borderId="10" xfId="0" applyFont="1" applyBorder="1"/>
    <xf numFmtId="0" fontId="17" fillId="0" borderId="0" xfId="0" applyFont="1"/>
    <xf numFmtId="0" fontId="10" fillId="12" borderId="1" xfId="0" applyFont="1" applyFill="1" applyBorder="1"/>
    <xf numFmtId="17" fontId="11" fillId="8" borderId="1" xfId="0" applyNumberFormat="1" applyFont="1" applyFill="1" applyBorder="1" applyAlignment="1">
      <alignment horizontal="center"/>
    </xf>
    <xf numFmtId="0" fontId="19" fillId="0" borderId="13" xfId="0" applyFont="1" applyBorder="1"/>
    <xf numFmtId="0" fontId="17" fillId="0" borderId="2" xfId="0" applyFont="1" applyBorder="1"/>
    <xf numFmtId="4" fontId="1" fillId="2" borderId="14" xfId="0" applyNumberFormat="1" applyFont="1" applyFill="1" applyBorder="1"/>
    <xf numFmtId="43" fontId="1" fillId="2" borderId="14" xfId="0" applyNumberFormat="1" applyFont="1" applyFill="1" applyBorder="1"/>
    <xf numFmtId="43" fontId="1" fillId="2" borderId="15" xfId="0" applyNumberFormat="1" applyFont="1" applyFill="1" applyBorder="1"/>
    <xf numFmtId="4" fontId="20" fillId="2" borderId="1" xfId="0" applyNumberFormat="1" applyFont="1" applyFill="1" applyBorder="1"/>
    <xf numFmtId="9" fontId="20" fillId="2" borderId="1" xfId="0" applyNumberFormat="1" applyFont="1" applyFill="1" applyBorder="1"/>
    <xf numFmtId="4" fontId="1" fillId="2" borderId="1" xfId="0" applyNumberFormat="1" applyFont="1" applyFill="1" applyBorder="1"/>
    <xf numFmtId="9" fontId="1" fillId="2" borderId="1" xfId="0" applyNumberFormat="1" applyFont="1" applyFill="1" applyBorder="1"/>
    <xf numFmtId="0" fontId="21" fillId="0" borderId="16" xfId="0" applyFont="1" applyBorder="1"/>
    <xf numFmtId="4" fontId="22" fillId="2" borderId="17" xfId="0" applyNumberFormat="1" applyFont="1" applyFill="1" applyBorder="1"/>
    <xf numFmtId="4" fontId="22" fillId="2" borderId="18" xfId="0" applyNumberFormat="1" applyFont="1" applyFill="1" applyBorder="1"/>
    <xf numFmtId="0" fontId="19" fillId="0" borderId="0" xfId="0" applyFont="1"/>
    <xf numFmtId="0" fontId="1" fillId="2" borderId="14" xfId="0" applyFont="1" applyFill="1" applyBorder="1"/>
    <xf numFmtId="0" fontId="1" fillId="2" borderId="15" xfId="0" applyFont="1" applyFill="1" applyBorder="1"/>
    <xf numFmtId="43" fontId="22" fillId="2" borderId="17" xfId="0" applyNumberFormat="1" applyFont="1" applyFill="1" applyBorder="1"/>
    <xf numFmtId="43" fontId="22" fillId="2" borderId="18" xfId="0" applyNumberFormat="1" applyFont="1" applyFill="1" applyBorder="1"/>
    <xf numFmtId="0" fontId="19" fillId="0" borderId="19" xfId="0" applyFont="1" applyBorder="1"/>
    <xf numFmtId="4" fontId="1" fillId="2" borderId="20" xfId="0" applyNumberFormat="1" applyFont="1" applyFill="1" applyBorder="1"/>
    <xf numFmtId="0" fontId="23" fillId="2" borderId="22" xfId="0" applyFont="1" applyFill="1" applyBorder="1" applyAlignment="1">
      <alignment wrapText="1"/>
    </xf>
    <xf numFmtId="0" fontId="2" fillId="2" borderId="23" xfId="0" applyFont="1" applyFill="1" applyBorder="1" applyAlignment="1">
      <alignment wrapText="1"/>
    </xf>
    <xf numFmtId="0" fontId="2" fillId="2" borderId="24" xfId="0" applyFont="1" applyFill="1" applyBorder="1" applyAlignment="1">
      <alignment wrapText="1"/>
    </xf>
    <xf numFmtId="0" fontId="24" fillId="13" borderId="25" xfId="0" applyFont="1" applyFill="1" applyBorder="1" applyAlignment="1">
      <alignment horizontal="center" wrapText="1"/>
    </xf>
    <xf numFmtId="0" fontId="24" fillId="2" borderId="26" xfId="0" applyFont="1" applyFill="1" applyBorder="1" applyAlignment="1">
      <alignment horizontal="center" wrapText="1"/>
    </xf>
    <xf numFmtId="0" fontId="24" fillId="2" borderId="27" xfId="0" applyFont="1" applyFill="1" applyBorder="1" applyAlignment="1">
      <alignment horizontal="center" wrapText="1"/>
    </xf>
    <xf numFmtId="0" fontId="24" fillId="2" borderId="28" xfId="0" applyFont="1" applyFill="1" applyBorder="1" applyAlignment="1">
      <alignment horizontal="center" wrapText="1"/>
    </xf>
    <xf numFmtId="0" fontId="25" fillId="4" borderId="10" xfId="0" applyFont="1" applyFill="1" applyBorder="1" applyAlignment="1">
      <alignment horizontal="center" wrapText="1"/>
    </xf>
    <xf numFmtId="0" fontId="1" fillId="0" borderId="29" xfId="0" applyFont="1" applyBorder="1" applyAlignment="1">
      <alignment horizontal="center" wrapText="1"/>
    </xf>
    <xf numFmtId="2" fontId="1" fillId="0" borderId="0" xfId="0" applyNumberFormat="1" applyFont="1"/>
    <xf numFmtId="0" fontId="12" fillId="0" borderId="29" xfId="0" applyFont="1" applyBorder="1" applyAlignment="1">
      <alignment horizontal="center" wrapText="1"/>
    </xf>
    <xf numFmtId="0" fontId="12" fillId="0" borderId="30" xfId="0" applyFont="1" applyBorder="1" applyAlignment="1">
      <alignment horizontal="center" wrapText="1"/>
    </xf>
    <xf numFmtId="0" fontId="1" fillId="0" borderId="2" xfId="0" applyFont="1" applyBorder="1"/>
    <xf numFmtId="4" fontId="1" fillId="0" borderId="21" xfId="0" applyNumberFormat="1" applyFont="1" applyBorder="1"/>
    <xf numFmtId="4" fontId="1" fillId="0" borderId="3" xfId="0" applyNumberFormat="1" applyFont="1" applyBorder="1"/>
    <xf numFmtId="0" fontId="1" fillId="0" borderId="31" xfId="0" applyFont="1" applyBorder="1" applyAlignment="1">
      <alignment wrapText="1"/>
    </xf>
    <xf numFmtId="0" fontId="12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2" fontId="1" fillId="0" borderId="4" xfId="0" applyNumberFormat="1" applyFont="1" applyBorder="1"/>
    <xf numFmtId="0" fontId="2" fillId="2" borderId="4" xfId="0" applyFont="1" applyFill="1" applyBorder="1" applyAlignment="1">
      <alignment vertical="center" wrapText="1"/>
    </xf>
    <xf numFmtId="0" fontId="2" fillId="13" borderId="3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6" fillId="4" borderId="10" xfId="0" applyFont="1" applyFill="1" applyBorder="1" applyAlignment="1">
      <alignment horizontal="center" wrapText="1"/>
    </xf>
    <xf numFmtId="0" fontId="27" fillId="0" borderId="29" xfId="0" applyFont="1" applyBorder="1" applyAlignment="1">
      <alignment horizontal="center" wrapText="1"/>
    </xf>
    <xf numFmtId="0" fontId="27" fillId="13" borderId="34" xfId="0" applyFont="1" applyFill="1" applyBorder="1" applyAlignment="1">
      <alignment horizontal="center" wrapText="1"/>
    </xf>
    <xf numFmtId="0" fontId="27" fillId="0" borderId="35" xfId="0" applyFont="1" applyBorder="1" applyAlignment="1">
      <alignment horizontal="center" wrapText="1"/>
    </xf>
    <xf numFmtId="43" fontId="1" fillId="0" borderId="21" xfId="0" applyNumberFormat="1" applyFont="1" applyBorder="1"/>
    <xf numFmtId="43" fontId="1" fillId="0" borderId="3" xfId="0" applyNumberFormat="1" applyFont="1" applyBorder="1"/>
    <xf numFmtId="0" fontId="27" fillId="0" borderId="36" xfId="0" applyFont="1" applyBorder="1" applyAlignment="1">
      <alignment horizontal="center" wrapText="1"/>
    </xf>
    <xf numFmtId="0" fontId="27" fillId="0" borderId="30" xfId="0" applyFont="1" applyBorder="1" applyAlignment="1">
      <alignment horizontal="center" wrapText="1"/>
    </xf>
    <xf numFmtId="4" fontId="1" fillId="0" borderId="2" xfId="0" applyNumberFormat="1" applyFont="1" applyBorder="1"/>
    <xf numFmtId="0" fontId="27" fillId="0" borderId="29" xfId="0" applyFont="1" applyBorder="1" applyAlignment="1">
      <alignment wrapText="1"/>
    </xf>
    <xf numFmtId="2" fontId="1" fillId="0" borderId="2" xfId="0" applyNumberFormat="1" applyFont="1" applyBorder="1"/>
    <xf numFmtId="2" fontId="1" fillId="0" borderId="21" xfId="0" applyNumberFormat="1" applyFont="1" applyBorder="1"/>
    <xf numFmtId="2" fontId="1" fillId="0" borderId="3" xfId="0" applyNumberFormat="1" applyFont="1" applyBorder="1"/>
    <xf numFmtId="0" fontId="27" fillId="0" borderId="31" xfId="0" applyFont="1" applyBorder="1" applyAlignment="1">
      <alignment wrapText="1"/>
    </xf>
    <xf numFmtId="0" fontId="27" fillId="0" borderId="30" xfId="0" applyFont="1" applyBorder="1" applyAlignment="1">
      <alignment horizontal="center" vertical="center" wrapText="1"/>
    </xf>
    <xf numFmtId="9" fontId="1" fillId="0" borderId="2" xfId="0" applyNumberFormat="1" applyFont="1" applyBorder="1"/>
    <xf numFmtId="9" fontId="1" fillId="0" borderId="21" xfId="0" applyNumberFormat="1" applyFont="1" applyBorder="1"/>
    <xf numFmtId="9" fontId="1" fillId="0" borderId="3" xfId="0" applyNumberFormat="1" applyFont="1" applyBorder="1"/>
    <xf numFmtId="0" fontId="14" fillId="0" borderId="0" xfId="0" applyFont="1"/>
    <xf numFmtId="0" fontId="1" fillId="0" borderId="16" xfId="0" applyFont="1" applyBorder="1"/>
    <xf numFmtId="0" fontId="1" fillId="0" borderId="32" xfId="0" applyFont="1" applyBorder="1"/>
    <xf numFmtId="0" fontId="1" fillId="0" borderId="37" xfId="0" applyFont="1" applyBorder="1"/>
    <xf numFmtId="2" fontId="1" fillId="0" borderId="13" xfId="0" applyNumberFormat="1" applyFont="1" applyBorder="1"/>
    <xf numFmtId="14" fontId="1" fillId="0" borderId="0" xfId="0" applyNumberFormat="1" applyFont="1"/>
    <xf numFmtId="9" fontId="1" fillId="0" borderId="38" xfId="0" applyNumberFormat="1" applyFont="1" applyBorder="1"/>
    <xf numFmtId="10" fontId="1" fillId="0" borderId="0" xfId="0" applyNumberFormat="1" applyFont="1"/>
    <xf numFmtId="165" fontId="1" fillId="0" borderId="39" xfId="0" applyNumberFormat="1" applyFont="1" applyBorder="1"/>
    <xf numFmtId="0" fontId="24" fillId="3" borderId="4" xfId="0" applyFont="1" applyFill="1" applyBorder="1" applyAlignment="1">
      <alignment horizontal="center" vertical="center"/>
    </xf>
    <xf numFmtId="0" fontId="28" fillId="3" borderId="4" xfId="0" applyFont="1" applyFill="1" applyBorder="1" applyAlignment="1">
      <alignment horizontal="center" vertical="center"/>
    </xf>
    <xf numFmtId="43" fontId="1" fillId="0" borderId="4" xfId="0" applyNumberFormat="1" applyFont="1" applyBorder="1"/>
    <xf numFmtId="166" fontId="1" fillId="0" borderId="4" xfId="0" applyNumberFormat="1" applyFont="1" applyBorder="1"/>
    <xf numFmtId="0" fontId="12" fillId="0" borderId="4" xfId="0" applyFont="1" applyBorder="1" applyAlignment="1">
      <alignment horizontal="center" vertical="center"/>
    </xf>
    <xf numFmtId="10" fontId="1" fillId="0" borderId="4" xfId="0" applyNumberFormat="1" applyFont="1" applyBorder="1"/>
    <xf numFmtId="0" fontId="1" fillId="0" borderId="3" xfId="0" applyFont="1" applyBorder="1" applyAlignment="1">
      <alignment horizontal="center" vertical="center"/>
    </xf>
    <xf numFmtId="165" fontId="1" fillId="0" borderId="4" xfId="0" applyNumberFormat="1" applyFont="1" applyBorder="1"/>
    <xf numFmtId="0" fontId="1" fillId="0" borderId="0" xfId="0" applyFont="1" applyAlignment="1">
      <alignment horizontal="center"/>
    </xf>
    <xf numFmtId="0" fontId="1" fillId="0" borderId="3" xfId="0" quotePrefix="1" applyFont="1" applyBorder="1" applyAlignment="1">
      <alignment horizontal="center" vertical="center"/>
    </xf>
    <xf numFmtId="9" fontId="1" fillId="0" borderId="4" xfId="0" applyNumberFormat="1" applyFont="1" applyBorder="1"/>
    <xf numFmtId="10" fontId="1" fillId="0" borderId="37" xfId="0" applyNumberFormat="1" applyFont="1" applyBorder="1"/>
    <xf numFmtId="0" fontId="1" fillId="0" borderId="4" xfId="0" applyFont="1" applyBorder="1" applyAlignment="1">
      <alignment horizontal="left" vertical="center"/>
    </xf>
    <xf numFmtId="4" fontId="1" fillId="0" borderId="4" xfId="0" applyNumberFormat="1" applyFont="1" applyBorder="1"/>
    <xf numFmtId="0" fontId="18" fillId="0" borderId="4" xfId="0" applyFont="1" applyBorder="1" applyAlignment="1">
      <alignment horizontal="left" vertical="center"/>
    </xf>
    <xf numFmtId="4" fontId="12" fillId="0" borderId="4" xfId="0" applyNumberFormat="1" applyFont="1" applyBorder="1"/>
    <xf numFmtId="0" fontId="4" fillId="4" borderId="4" xfId="0" applyFont="1" applyFill="1" applyBorder="1" applyAlignment="1">
      <alignment horizontal="center" vertical="center"/>
    </xf>
    <xf numFmtId="43" fontId="12" fillId="0" borderId="4" xfId="0" applyNumberFormat="1" applyFont="1" applyBorder="1"/>
    <xf numFmtId="2" fontId="31" fillId="3" borderId="44" xfId="0" applyNumberFormat="1" applyFont="1" applyFill="1" applyBorder="1" applyAlignment="1">
      <alignment horizontal="center" vertical="center"/>
    </xf>
    <xf numFmtId="2" fontId="31" fillId="3" borderId="47" xfId="0" applyNumberFormat="1" applyFont="1" applyFill="1" applyBorder="1" applyAlignment="1">
      <alignment horizontal="center" vertical="center"/>
    </xf>
    <xf numFmtId="10" fontId="31" fillId="3" borderId="50" xfId="0" applyNumberFormat="1" applyFont="1" applyFill="1" applyBorder="1" applyAlignment="1">
      <alignment horizontal="center" vertical="center"/>
    </xf>
    <xf numFmtId="0" fontId="32" fillId="0" borderId="4" xfId="0" applyFont="1" applyBorder="1" applyAlignment="1">
      <alignment horizontal="left" vertical="center"/>
    </xf>
    <xf numFmtId="8" fontId="1" fillId="0" borderId="4" xfId="0" applyNumberFormat="1" applyFont="1" applyBorder="1"/>
    <xf numFmtId="0" fontId="33" fillId="4" borderId="4" xfId="0" applyFont="1" applyFill="1" applyBorder="1" applyAlignment="1">
      <alignment horizontal="left" vertical="center"/>
    </xf>
    <xf numFmtId="0" fontId="34" fillId="0" borderId="0" xfId="0" applyFont="1"/>
    <xf numFmtId="0" fontId="34" fillId="15" borderId="1" xfId="0" applyFont="1" applyFill="1" applyBorder="1"/>
    <xf numFmtId="0" fontId="34" fillId="0" borderId="53" xfId="0" applyFont="1" applyBorder="1"/>
    <xf numFmtId="0" fontId="34" fillId="0" borderId="54" xfId="0" applyFont="1" applyBorder="1"/>
    <xf numFmtId="0" fontId="34" fillId="0" borderId="55" xfId="0" applyFont="1" applyBorder="1"/>
    <xf numFmtId="0" fontId="34" fillId="15" borderId="4" xfId="0" applyFont="1" applyFill="1" applyBorder="1"/>
    <xf numFmtId="0" fontId="36" fillId="15" borderId="50" xfId="0" applyFont="1" applyFill="1" applyBorder="1" applyAlignment="1">
      <alignment horizontal="right"/>
    </xf>
    <xf numFmtId="0" fontId="36" fillId="15" borderId="59" xfId="0" applyFont="1" applyFill="1" applyBorder="1" applyAlignment="1">
      <alignment horizontal="right"/>
    </xf>
    <xf numFmtId="0" fontId="36" fillId="15" borderId="4" xfId="0" applyFont="1" applyFill="1" applyBorder="1" applyAlignment="1">
      <alignment horizontal="right"/>
    </xf>
    <xf numFmtId="0" fontId="37" fillId="15" borderId="47" xfId="0" applyFont="1" applyFill="1" applyBorder="1" applyAlignment="1">
      <alignment horizontal="right"/>
    </xf>
    <xf numFmtId="0" fontId="37" fillId="15" borderId="1" xfId="0" applyFont="1" applyFill="1" applyBorder="1" applyAlignment="1">
      <alignment horizontal="right"/>
    </xf>
    <xf numFmtId="0" fontId="37" fillId="15" borderId="4" xfId="0" applyFont="1" applyFill="1" applyBorder="1" applyAlignment="1">
      <alignment horizontal="right"/>
    </xf>
    <xf numFmtId="0" fontId="37" fillId="15" borderId="56" xfId="0" applyFont="1" applyFill="1" applyBorder="1" applyAlignment="1">
      <alignment horizontal="right"/>
    </xf>
    <xf numFmtId="0" fontId="38" fillId="0" borderId="60" xfId="0" applyFont="1" applyBorder="1"/>
    <xf numFmtId="0" fontId="38" fillId="0" borderId="60" xfId="0" applyFont="1" applyBorder="1" applyAlignment="1">
      <alignment horizontal="right"/>
    </xf>
    <xf numFmtId="0" fontId="38" fillId="0" borderId="55" xfId="0" applyFont="1" applyBorder="1"/>
    <xf numFmtId="0" fontId="38" fillId="0" borderId="0" xfId="0" applyFont="1"/>
    <xf numFmtId="0" fontId="38" fillId="0" borderId="54" xfId="0" applyFont="1" applyBorder="1"/>
    <xf numFmtId="168" fontId="12" fillId="0" borderId="60" xfId="0" applyNumberFormat="1" applyFont="1" applyBorder="1"/>
    <xf numFmtId="168" fontId="38" fillId="0" borderId="60" xfId="0" applyNumberFormat="1" applyFont="1" applyBorder="1"/>
    <xf numFmtId="0" fontId="1" fillId="2" borderId="4" xfId="0" applyFont="1" applyFill="1" applyBorder="1"/>
    <xf numFmtId="0" fontId="39" fillId="0" borderId="60" xfId="0" applyFont="1" applyBorder="1"/>
    <xf numFmtId="0" fontId="40" fillId="0" borderId="60" xfId="0" applyFont="1" applyBorder="1"/>
    <xf numFmtId="0" fontId="1" fillId="0" borderId="60" xfId="0" applyFont="1" applyBorder="1" applyAlignment="1">
      <alignment horizontal="right"/>
    </xf>
    <xf numFmtId="0" fontId="40" fillId="0" borderId="0" xfId="0" applyFont="1"/>
    <xf numFmtId="0" fontId="41" fillId="0" borderId="54" xfId="0" applyFont="1" applyBorder="1"/>
    <xf numFmtId="169" fontId="1" fillId="0" borderId="60" xfId="0" applyNumberFormat="1" applyFont="1" applyBorder="1"/>
    <xf numFmtId="0" fontId="40" fillId="16" borderId="61" xfId="0" applyFont="1" applyFill="1" applyBorder="1" applyAlignment="1">
      <alignment horizontal="right" vertical="center" wrapText="1"/>
    </xf>
    <xf numFmtId="0" fontId="1" fillId="0" borderId="60" xfId="0" applyFont="1" applyBorder="1"/>
    <xf numFmtId="169" fontId="1" fillId="0" borderId="60" xfId="0" applyNumberFormat="1" applyFont="1" applyBorder="1" applyAlignment="1">
      <alignment horizontal="right"/>
    </xf>
    <xf numFmtId="0" fontId="40" fillId="16" borderId="1" xfId="0" applyFont="1" applyFill="1" applyBorder="1" applyAlignment="1">
      <alignment horizontal="right" vertical="center" wrapText="1"/>
    </xf>
    <xf numFmtId="0" fontId="40" fillId="16" borderId="62" xfId="0" applyFont="1" applyFill="1" applyBorder="1" applyAlignment="1">
      <alignment horizontal="right" vertical="center" wrapText="1"/>
    </xf>
    <xf numFmtId="0" fontId="1" fillId="17" borderId="61" xfId="0" applyFont="1" applyFill="1" applyBorder="1"/>
    <xf numFmtId="168" fontId="1" fillId="17" borderId="61" xfId="0" applyNumberFormat="1" applyFont="1" applyFill="1" applyBorder="1"/>
    <xf numFmtId="169" fontId="1" fillId="17" borderId="61" xfId="0" applyNumberFormat="1" applyFont="1" applyFill="1" applyBorder="1"/>
    <xf numFmtId="0" fontId="12" fillId="17" borderId="61" xfId="0" applyFont="1" applyFill="1" applyBorder="1"/>
    <xf numFmtId="168" fontId="12" fillId="17" borderId="61" xfId="0" applyNumberFormat="1" applyFont="1" applyFill="1" applyBorder="1"/>
    <xf numFmtId="169" fontId="12" fillId="17" borderId="61" xfId="0" applyNumberFormat="1" applyFont="1" applyFill="1" applyBorder="1"/>
    <xf numFmtId="0" fontId="36" fillId="15" borderId="1" xfId="0" applyFont="1" applyFill="1" applyBorder="1" applyAlignment="1">
      <alignment horizontal="right"/>
    </xf>
    <xf numFmtId="0" fontId="36" fillId="15" borderId="1" xfId="0" applyFont="1" applyFill="1" applyBorder="1" applyAlignment="1">
      <alignment horizontal="center"/>
    </xf>
    <xf numFmtId="0" fontId="1" fillId="18" borderId="61" xfId="0" applyFont="1" applyFill="1" applyBorder="1"/>
    <xf numFmtId="2" fontId="43" fillId="18" borderId="61" xfId="0" applyNumberFormat="1" applyFont="1" applyFill="1" applyBorder="1" applyAlignment="1">
      <alignment horizontal="right"/>
    </xf>
    <xf numFmtId="0" fontId="44" fillId="18" borderId="61" xfId="0" applyFont="1" applyFill="1" applyBorder="1" applyAlignment="1">
      <alignment horizontal="right"/>
    </xf>
    <xf numFmtId="4" fontId="43" fillId="18" borderId="61" xfId="0" applyNumberFormat="1" applyFont="1" applyFill="1" applyBorder="1" applyAlignment="1">
      <alignment horizontal="right"/>
    </xf>
    <xf numFmtId="0" fontId="45" fillId="18" borderId="61" xfId="0" applyFont="1" applyFill="1" applyBorder="1" applyAlignment="1">
      <alignment horizontal="right"/>
    </xf>
    <xf numFmtId="0" fontId="34" fillId="18" borderId="61" xfId="0" applyFont="1" applyFill="1" applyBorder="1"/>
    <xf numFmtId="0" fontId="34" fillId="0" borderId="60" xfId="0" applyFont="1" applyBorder="1"/>
    <xf numFmtId="0" fontId="34" fillId="0" borderId="63" xfId="0" applyFont="1" applyBorder="1"/>
    <xf numFmtId="0" fontId="45" fillId="18" borderId="64" xfId="0" applyFont="1" applyFill="1" applyBorder="1" applyAlignment="1">
      <alignment horizontal="right"/>
    </xf>
    <xf numFmtId="0" fontId="1" fillId="18" borderId="64" xfId="0" applyFont="1" applyFill="1" applyBorder="1"/>
    <xf numFmtId="0" fontId="44" fillId="18" borderId="64" xfId="0" applyFont="1" applyFill="1" applyBorder="1"/>
    <xf numFmtId="0" fontId="34" fillId="18" borderId="64" xfId="0" applyFont="1" applyFill="1" applyBorder="1"/>
    <xf numFmtId="0" fontId="34" fillId="0" borderId="65" xfId="0" applyFont="1" applyBorder="1" applyAlignment="1">
      <alignment horizontal="right"/>
    </xf>
    <xf numFmtId="0" fontId="12" fillId="18" borderId="17" xfId="0" applyFont="1" applyFill="1" applyBorder="1"/>
    <xf numFmtId="0" fontId="12" fillId="0" borderId="32" xfId="0" applyFont="1" applyBorder="1"/>
    <xf numFmtId="170" fontId="12" fillId="0" borderId="32" xfId="0" applyNumberFormat="1" applyFont="1" applyBorder="1"/>
    <xf numFmtId="0" fontId="46" fillId="18" borderId="1" xfId="0" applyFont="1" applyFill="1" applyBorder="1"/>
    <xf numFmtId="0" fontId="47" fillId="0" borderId="0" xfId="0" applyFont="1"/>
    <xf numFmtId="0" fontId="14" fillId="18" borderId="1" xfId="0" applyFont="1" applyFill="1" applyBorder="1"/>
    <xf numFmtId="0" fontId="12" fillId="19" borderId="0" xfId="0" applyFont="1" applyFill="1"/>
    <xf numFmtId="0" fontId="12" fillId="19" borderId="1" xfId="0" applyFont="1" applyFill="1" applyBorder="1"/>
    <xf numFmtId="0" fontId="19" fillId="12" borderId="1" xfId="0" applyFont="1" applyFill="1" applyBorder="1"/>
    <xf numFmtId="171" fontId="1" fillId="0" borderId="0" xfId="0" applyNumberFormat="1" applyFont="1"/>
    <xf numFmtId="170" fontId="1" fillId="0" borderId="0" xfId="0" applyNumberFormat="1" applyFont="1"/>
    <xf numFmtId="0" fontId="1" fillId="0" borderId="13" xfId="0" applyFont="1" applyBorder="1" applyAlignment="1">
      <alignment horizontal="center" vertical="center"/>
    </xf>
    <xf numFmtId="9" fontId="1" fillId="0" borderId="0" xfId="0" applyNumberFormat="1" applyFont="1"/>
    <xf numFmtId="172" fontId="1" fillId="0" borderId="13" xfId="0" applyNumberFormat="1" applyFont="1" applyBorder="1"/>
    <xf numFmtId="0" fontId="49" fillId="0" borderId="66" xfId="0" applyFont="1" applyBorder="1" applyAlignment="1">
      <alignment horizontal="center" vertical="center"/>
    </xf>
    <xf numFmtId="0" fontId="1" fillId="0" borderId="67" xfId="0" applyFont="1" applyBorder="1"/>
    <xf numFmtId="9" fontId="1" fillId="0" borderId="67" xfId="0" applyNumberFormat="1" applyFont="1" applyBorder="1"/>
    <xf numFmtId="0" fontId="7" fillId="4" borderId="4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173" fontId="1" fillId="0" borderId="4" xfId="0" applyNumberFormat="1" applyFont="1" applyBorder="1"/>
    <xf numFmtId="0" fontId="18" fillId="19" borderId="68" xfId="0" applyFont="1" applyFill="1" applyBorder="1"/>
    <xf numFmtId="0" fontId="1" fillId="19" borderId="1" xfId="0" applyFont="1" applyFill="1" applyBorder="1"/>
    <xf numFmtId="0" fontId="1" fillId="0" borderId="0" xfId="0" applyFont="1"/>
    <xf numFmtId="170" fontId="12" fillId="2" borderId="1" xfId="0" applyNumberFormat="1" applyFont="1" applyFill="1" applyBorder="1"/>
    <xf numFmtId="0" fontId="34" fillId="0" borderId="52" xfId="0" applyFont="1" applyBorder="1"/>
    <xf numFmtId="0" fontId="0" fillId="0" borderId="52" xfId="0" applyBorder="1"/>
    <xf numFmtId="0" fontId="36" fillId="15" borderId="71" xfId="0" applyFont="1" applyFill="1" applyBorder="1" applyAlignment="1">
      <alignment horizontal="center"/>
    </xf>
    <xf numFmtId="169" fontId="1" fillId="17" borderId="65" xfId="0" applyNumberFormat="1" applyFont="1" applyFill="1" applyBorder="1"/>
    <xf numFmtId="0" fontId="1" fillId="2" borderId="52" xfId="0" applyFont="1" applyFill="1" applyBorder="1"/>
    <xf numFmtId="0" fontId="34" fillId="15" borderId="52" xfId="0" applyFont="1" applyFill="1" applyBorder="1"/>
    <xf numFmtId="168" fontId="38" fillId="0" borderId="63" xfId="0" applyNumberFormat="1" applyFont="1" applyBorder="1" applyAlignment="1">
      <alignment horizontal="right"/>
    </xf>
    <xf numFmtId="0" fontId="34" fillId="15" borderId="71" xfId="0" applyFont="1" applyFill="1" applyBorder="1"/>
    <xf numFmtId="169" fontId="1" fillId="2" borderId="62" xfId="0" applyNumberFormat="1" applyFont="1" applyFill="1" applyBorder="1" applyAlignment="1">
      <alignment horizontal="right" vertical="center"/>
    </xf>
    <xf numFmtId="169" fontId="12" fillId="2" borderId="63" xfId="0" applyNumberFormat="1" applyFont="1" applyFill="1" applyBorder="1" applyAlignment="1">
      <alignment horizontal="right" vertical="center"/>
    </xf>
    <xf numFmtId="169" fontId="1" fillId="17" borderId="63" xfId="0" applyNumberFormat="1" applyFont="1" applyFill="1" applyBorder="1"/>
    <xf numFmtId="0" fontId="1" fillId="2" borderId="62" xfId="0" applyFont="1" applyFill="1" applyBorder="1"/>
    <xf numFmtId="0" fontId="36" fillId="15" borderId="52" xfId="0" applyFont="1" applyFill="1" applyBorder="1" applyAlignment="1">
      <alignment horizontal="center"/>
    </xf>
    <xf numFmtId="0" fontId="34" fillId="0" borderId="52" xfId="0" applyFont="1" applyBorder="1" applyAlignment="1">
      <alignment horizontal="right"/>
    </xf>
    <xf numFmtId="0" fontId="34" fillId="2" borderId="63" xfId="0" applyFont="1" applyFill="1" applyBorder="1"/>
    <xf numFmtId="0" fontId="34" fillId="2" borderId="72" xfId="0" applyFont="1" applyFill="1" applyBorder="1"/>
    <xf numFmtId="4" fontId="0" fillId="0" borderId="0" xfId="0" applyNumberFormat="1"/>
    <xf numFmtId="0" fontId="51" fillId="0" borderId="0" xfId="0" applyFont="1"/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18" fillId="6" borderId="11" xfId="0" applyFont="1" applyFill="1" applyBorder="1" applyAlignment="1">
      <alignment horizontal="center"/>
    </xf>
    <xf numFmtId="0" fontId="3" fillId="0" borderId="12" xfId="0" applyFont="1" applyBorder="1"/>
    <xf numFmtId="0" fontId="18" fillId="11" borderId="11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 wrapText="1"/>
    </xf>
    <xf numFmtId="0" fontId="3" fillId="0" borderId="21" xfId="0" applyFont="1" applyBorder="1"/>
    <xf numFmtId="0" fontId="12" fillId="6" borderId="11" xfId="0" applyFont="1" applyFill="1" applyBorder="1" applyAlignment="1">
      <alignment horizontal="center"/>
    </xf>
    <xf numFmtId="0" fontId="12" fillId="11" borderId="11" xfId="0" applyFont="1" applyFill="1" applyBorder="1" applyAlignment="1">
      <alignment horizontal="center"/>
    </xf>
    <xf numFmtId="0" fontId="2" fillId="13" borderId="16" xfId="0" applyFont="1" applyFill="1" applyBorder="1" applyAlignment="1">
      <alignment horizontal="center" vertical="center" wrapText="1"/>
    </xf>
    <xf numFmtId="0" fontId="3" fillId="0" borderId="32" xfId="0" applyFont="1" applyBorder="1"/>
    <xf numFmtId="0" fontId="12" fillId="11" borderId="16" xfId="0" applyFont="1" applyFill="1" applyBorder="1" applyAlignment="1">
      <alignment horizontal="center"/>
    </xf>
    <xf numFmtId="0" fontId="3" fillId="0" borderId="37" xfId="0" applyFont="1" applyBorder="1"/>
    <xf numFmtId="0" fontId="7" fillId="4" borderId="2" xfId="0" applyFont="1" applyFill="1" applyBorder="1" applyAlignment="1">
      <alignment horizontal="center" vertical="center"/>
    </xf>
    <xf numFmtId="0" fontId="12" fillId="14" borderId="11" xfId="0" applyFont="1" applyFill="1" applyBorder="1" applyAlignment="1">
      <alignment horizontal="center"/>
    </xf>
    <xf numFmtId="0" fontId="29" fillId="3" borderId="40" xfId="0" applyFont="1" applyFill="1" applyBorder="1" applyAlignment="1">
      <alignment horizontal="center" vertical="center"/>
    </xf>
    <xf numFmtId="0" fontId="3" fillId="0" borderId="41" xfId="0" applyFont="1" applyBorder="1"/>
    <xf numFmtId="0" fontId="3" fillId="0" borderId="45" xfId="0" applyFont="1" applyBorder="1"/>
    <xf numFmtId="0" fontId="0" fillId="0" borderId="0" xfId="0"/>
    <xf numFmtId="167" fontId="30" fillId="4" borderId="42" xfId="0" applyNumberFormat="1" applyFont="1" applyFill="1" applyBorder="1" applyAlignment="1">
      <alignment horizontal="center" vertical="center"/>
    </xf>
    <xf numFmtId="0" fontId="3" fillId="0" borderId="43" xfId="0" applyFont="1" applyBorder="1"/>
    <xf numFmtId="167" fontId="30" fillId="4" borderId="46" xfId="0" applyNumberFormat="1" applyFont="1" applyFill="1" applyBorder="1" applyAlignment="1">
      <alignment horizontal="center" vertical="center"/>
    </xf>
    <xf numFmtId="167" fontId="30" fillId="4" borderId="48" xfId="0" applyNumberFormat="1" applyFont="1" applyFill="1" applyBorder="1" applyAlignment="1">
      <alignment horizontal="center" vertical="center"/>
    </xf>
    <xf numFmtId="0" fontId="3" fillId="0" borderId="49" xfId="0" applyFont="1" applyBorder="1"/>
    <xf numFmtId="0" fontId="35" fillId="15" borderId="51" xfId="0" applyFont="1" applyFill="1" applyBorder="1"/>
    <xf numFmtId="0" fontId="3" fillId="0" borderId="52" xfId="0" applyFont="1" applyBorder="1"/>
    <xf numFmtId="0" fontId="36" fillId="15" borderId="56" xfId="0" applyFont="1" applyFill="1" applyBorder="1"/>
    <xf numFmtId="0" fontId="3" fillId="0" borderId="58" xfId="0" applyFont="1" applyBorder="1"/>
    <xf numFmtId="0" fontId="36" fillId="15" borderId="57" xfId="0" applyFont="1" applyFill="1" applyBorder="1" applyAlignment="1">
      <alignment horizontal="center"/>
    </xf>
    <xf numFmtId="0" fontId="12" fillId="20" borderId="0" xfId="0" applyFont="1" applyFill="1" applyAlignment="1">
      <alignment horizontal="center"/>
    </xf>
    <xf numFmtId="0" fontId="0" fillId="20" borderId="0" xfId="0" applyFill="1"/>
    <xf numFmtId="0" fontId="42" fillId="15" borderId="11" xfId="0" applyFont="1" applyFill="1" applyBorder="1" applyAlignment="1">
      <alignment horizontal="center"/>
    </xf>
    <xf numFmtId="0" fontId="36" fillId="15" borderId="70" xfId="0" applyFont="1" applyFill="1" applyBorder="1" applyAlignment="1">
      <alignment horizontal="center"/>
    </xf>
    <xf numFmtId="0" fontId="3" fillId="0" borderId="70" xfId="0" applyFont="1" applyBorder="1"/>
    <xf numFmtId="0" fontId="3" fillId="0" borderId="69" xfId="0" applyFont="1" applyBorder="1"/>
    <xf numFmtId="0" fontId="36" fillId="15" borderId="71" xfId="0" applyFont="1" applyFill="1" applyBorder="1" applyAlignment="1">
      <alignment horizontal="center"/>
    </xf>
    <xf numFmtId="0" fontId="3" fillId="0" borderId="71" xfId="0" applyFont="1" applyBorder="1"/>
    <xf numFmtId="0" fontId="48" fillId="3" borderId="2" xfId="0" applyFont="1" applyFill="1" applyBorder="1" applyAlignment="1">
      <alignment horizontal="center"/>
    </xf>
    <xf numFmtId="0" fontId="50" fillId="0" borderId="13" xfId="0" applyFont="1" applyBorder="1" applyAlignment="1">
      <alignment horizontal="center" vertical="center"/>
    </xf>
    <xf numFmtId="0" fontId="3" fillId="0" borderId="39" xfId="0" applyFont="1" applyBorder="1"/>
    <xf numFmtId="4" fontId="38" fillId="0" borderId="6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333875" cy="1209675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114300</xdr:colOff>
      <xdr:row>2</xdr:row>
      <xdr:rowOff>0</xdr:rowOff>
    </xdr:from>
    <xdr:ext cx="4295775" cy="247650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161925</xdr:colOff>
      <xdr:row>0</xdr:row>
      <xdr:rowOff>95250</xdr:rowOff>
    </xdr:from>
    <xdr:ext cx="5067300" cy="161925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266700</xdr:colOff>
      <xdr:row>9</xdr:row>
      <xdr:rowOff>114300</xdr:rowOff>
    </xdr:from>
    <xdr:ext cx="4962525" cy="1276350"/>
    <xdr:pic>
      <xdr:nvPicPr>
        <xdr:cNvPr id="3" name="image5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13</xdr:row>
      <xdr:rowOff>0</xdr:rowOff>
    </xdr:from>
    <xdr:ext cx="5076825" cy="1752600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cord%20Biotech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ncord%20Biotech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 &amp; Loss"/>
      <sheetName val="Quarters"/>
      <sheetName val="Balance Sheet"/>
      <sheetName val="Customization"/>
      <sheetName val="Data Sheet"/>
    </sheetNames>
    <sheetDataSet>
      <sheetData sheetId="0" refreshError="1"/>
      <sheetData sheetId="1" refreshError="1"/>
      <sheetData sheetId="2"/>
      <sheetData sheetId="3" refreshError="1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ustomization"/>
      <sheetName val="Data Sheet"/>
    </sheetNames>
    <sheetDataSet>
      <sheetData sheetId="0"/>
      <sheetData sheetId="1"/>
      <sheetData sheetId="2">
        <row r="1">
          <cell r="A1" t="str">
            <v>CONCORD BIOTECH LTD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FF8119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creener.in/company/MANKIND/consolidated/" TargetMode="External"/><Relationship Id="rId2" Type="http://schemas.openxmlformats.org/officeDocument/2006/relationships/hyperlink" Target="https://www.screener.in/company/ZYDUSLIFE/consolidated/" TargetMode="External"/><Relationship Id="rId1" Type="http://schemas.openxmlformats.org/officeDocument/2006/relationships/hyperlink" Target="https://www.screener.in/company/SUNPHARMA/consolidated/" TargetMode="External"/><Relationship Id="rId4" Type="http://schemas.openxmlformats.org/officeDocument/2006/relationships/hyperlink" Target="https://www.screener.in/company/CIPLA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B1" workbookViewId="0">
      <selection activeCell="H20" sqref="H20"/>
    </sheetView>
  </sheetViews>
  <sheetFormatPr defaultColWidth="14.44140625" defaultRowHeight="15" customHeight="1" x14ac:dyDescent="0.3"/>
  <cols>
    <col min="1" max="2" width="8.88671875" customWidth="1"/>
    <col min="3" max="3" width="33" customWidth="1"/>
    <col min="4" max="9" width="8.88671875" customWidth="1"/>
    <col min="10" max="10" width="44.6640625" customWidth="1"/>
    <col min="11" max="11" width="12.88671875" bestFit="1" customWidth="1"/>
    <col min="12" max="12" width="13.33203125" customWidth="1"/>
    <col min="13" max="26" width="8.6640625" customWidth="1"/>
  </cols>
  <sheetData>
    <row r="1" spans="1:26" ht="14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239" t="s">
        <v>0</v>
      </c>
      <c r="C12" s="240"/>
      <c r="D12" s="1"/>
      <c r="E12" s="1"/>
      <c r="F12" s="1"/>
      <c r="G12" s="1"/>
      <c r="H12" s="1"/>
      <c r="I12" s="1"/>
      <c r="J12" s="2" t="s">
        <v>1</v>
      </c>
      <c r="K12" s="3" t="s">
        <v>2</v>
      </c>
      <c r="L12" s="3" t="s">
        <v>3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1"/>
      <c r="B13" s="4" t="s">
        <v>4</v>
      </c>
      <c r="C13" s="4" t="s">
        <v>5</v>
      </c>
      <c r="D13" s="1"/>
      <c r="E13" s="1"/>
      <c r="F13" s="1"/>
      <c r="G13" s="1"/>
      <c r="H13" s="1"/>
      <c r="I13" s="1"/>
      <c r="J13" s="5" t="s">
        <v>6</v>
      </c>
      <c r="K13" s="6">
        <f>DCF!L15</f>
        <v>145.5522271499409</v>
      </c>
      <c r="L13" s="7">
        <v>0.5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1"/>
      <c r="B14" s="8">
        <v>1</v>
      </c>
      <c r="C14" s="9" t="s">
        <v>7</v>
      </c>
      <c r="D14" s="1"/>
      <c r="E14" s="1"/>
      <c r="F14" s="1"/>
      <c r="G14" s="1"/>
      <c r="H14" s="1"/>
      <c r="I14" s="1"/>
      <c r="J14" s="5" t="s">
        <v>8</v>
      </c>
      <c r="K14" s="6">
        <f>'Relative Valuation'!N31</f>
        <v>966.97722192744027</v>
      </c>
      <c r="L14" s="7">
        <v>0.25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1"/>
      <c r="B15" s="8">
        <v>2</v>
      </c>
      <c r="C15" s="9" t="s">
        <v>9</v>
      </c>
      <c r="D15" s="1"/>
      <c r="E15" s="1"/>
      <c r="F15" s="1"/>
      <c r="G15" s="1"/>
      <c r="H15" s="1"/>
      <c r="I15" s="1"/>
      <c r="J15" s="5" t="s">
        <v>10</v>
      </c>
      <c r="K15" s="6">
        <f>'Relative Valuation'!P31</f>
        <v>1041.9988666666666</v>
      </c>
      <c r="L15" s="7">
        <v>0.25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1"/>
      <c r="B16" s="8">
        <v>3</v>
      </c>
      <c r="C16" s="9" t="s">
        <v>11</v>
      </c>
      <c r="D16" s="1"/>
      <c r="E16" s="1"/>
      <c r="F16" s="1"/>
      <c r="G16" s="1"/>
      <c r="H16" s="1"/>
      <c r="I16" s="1"/>
      <c r="J16" s="10"/>
      <c r="K16" s="11"/>
      <c r="L16" s="1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1"/>
      <c r="B17" s="8">
        <v>4</v>
      </c>
      <c r="C17" s="9" t="s">
        <v>12</v>
      </c>
      <c r="D17" s="1"/>
      <c r="E17" s="1"/>
      <c r="F17" s="1"/>
      <c r="G17" s="1"/>
      <c r="H17" s="1"/>
      <c r="I17" s="1"/>
      <c r="J17" s="12" t="s">
        <v>281</v>
      </c>
      <c r="K17" s="13">
        <f>SUMPRODUCT(K13:K15,L13:L15)</f>
        <v>575.02013572349711</v>
      </c>
      <c r="L17" s="1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5">
      <c r="A18" s="1"/>
      <c r="B18" s="8">
        <v>5</v>
      </c>
      <c r="C18" s="9" t="s">
        <v>13</v>
      </c>
      <c r="D18" s="1"/>
      <c r="E18" s="1"/>
      <c r="F18" s="1"/>
      <c r="G18" s="1"/>
      <c r="H18" s="1"/>
      <c r="I18" s="1"/>
      <c r="J18" s="12" t="s">
        <v>14</v>
      </c>
      <c r="K18" s="13">
        <f>DCF!L14</f>
        <v>1733.33</v>
      </c>
      <c r="L18" s="1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5">
      <c r="A19" s="1"/>
      <c r="B19" s="8">
        <v>6</v>
      </c>
      <c r="C19" s="9" t="s">
        <v>15</v>
      </c>
      <c r="D19" s="1"/>
      <c r="E19" s="1"/>
      <c r="F19" s="1"/>
      <c r="G19" s="1"/>
      <c r="H19" s="1"/>
      <c r="I19" s="1"/>
      <c r="J19" s="12" t="s">
        <v>16</v>
      </c>
      <c r="K19" s="14">
        <f>(K17-K18)/K18</f>
        <v>-0.66825697603832102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5">
      <c r="A20" s="1"/>
      <c r="B20" s="8">
        <v>7</v>
      </c>
      <c r="C20" s="9" t="s">
        <v>17</v>
      </c>
      <c r="D20" s="1"/>
      <c r="E20" s="1"/>
      <c r="F20" s="1"/>
      <c r="G20" s="1"/>
      <c r="H20" s="1"/>
      <c r="I20" s="1"/>
      <c r="J20" s="12" t="s">
        <v>18</v>
      </c>
      <c r="K20" s="15" t="str">
        <f>IF(K19&lt;-20%,"Sell","Buy")</f>
        <v>Sell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8">
        <v>8</v>
      </c>
      <c r="C21" s="9" t="s">
        <v>19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1"/>
      <c r="B22" s="8">
        <v>9</v>
      </c>
      <c r="C22" s="9" t="s">
        <v>20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8">
        <v>10</v>
      </c>
      <c r="C23" s="9" t="s">
        <v>21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8">
        <v>11</v>
      </c>
      <c r="C24" s="9" t="s">
        <v>22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12:C12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1000"/>
  <sheetViews>
    <sheetView workbookViewId="0">
      <selection activeCell="F23" sqref="F23"/>
    </sheetView>
  </sheetViews>
  <sheetFormatPr defaultColWidth="14.44140625" defaultRowHeight="15" customHeight="1" x14ac:dyDescent="0.3"/>
  <cols>
    <col min="1" max="1" width="8.6640625" customWidth="1"/>
    <col min="2" max="2" width="16.5546875" customWidth="1"/>
    <col min="3" max="3" width="37.5546875" customWidth="1"/>
    <col min="4" max="26" width="8.6640625" customWidth="1"/>
  </cols>
  <sheetData>
    <row r="1" spans="2:3" ht="14.25" customHeight="1" x14ac:dyDescent="0.3"/>
    <row r="2" spans="2:3" ht="14.25" customHeight="1" x14ac:dyDescent="0.3">
      <c r="B2" s="16" t="s">
        <v>23</v>
      </c>
      <c r="C2" s="16" t="s">
        <v>24</v>
      </c>
    </row>
    <row r="3" spans="2:3" ht="14.25" customHeight="1" x14ac:dyDescent="0.3">
      <c r="B3" s="17" t="s">
        <v>25</v>
      </c>
      <c r="C3" s="8" t="s">
        <v>26</v>
      </c>
    </row>
    <row r="4" spans="2:3" ht="14.25" customHeight="1" x14ac:dyDescent="0.3">
      <c r="B4" s="17" t="s">
        <v>27</v>
      </c>
      <c r="C4" s="8" t="s">
        <v>28</v>
      </c>
    </row>
    <row r="5" spans="2:3" ht="14.25" customHeight="1" x14ac:dyDescent="0.3">
      <c r="B5" s="17" t="s">
        <v>29</v>
      </c>
      <c r="C5" s="18">
        <v>0.25</v>
      </c>
    </row>
    <row r="6" spans="2:3" ht="14.25" customHeight="1" x14ac:dyDescent="0.3"/>
    <row r="7" spans="2:3" ht="14.25" customHeight="1" x14ac:dyDescent="0.3">
      <c r="B7" s="2" t="s">
        <v>4</v>
      </c>
      <c r="C7" s="2" t="s">
        <v>30</v>
      </c>
    </row>
    <row r="8" spans="2:3" ht="14.25" customHeight="1" x14ac:dyDescent="0.3">
      <c r="B8" s="19">
        <v>1</v>
      </c>
      <c r="C8" s="20" t="s">
        <v>31</v>
      </c>
    </row>
    <row r="9" spans="2:3" ht="14.25" customHeight="1" x14ac:dyDescent="0.3">
      <c r="B9" s="19">
        <v>2</v>
      </c>
      <c r="C9" s="20" t="s">
        <v>32</v>
      </c>
    </row>
    <row r="10" spans="2:3" ht="14.25" customHeight="1" x14ac:dyDescent="0.3">
      <c r="B10" s="19">
        <v>3</v>
      </c>
      <c r="C10" s="20" t="s">
        <v>33</v>
      </c>
    </row>
    <row r="11" spans="2:3" ht="14.25" customHeight="1" x14ac:dyDescent="0.3">
      <c r="B11" s="19">
        <v>4</v>
      </c>
      <c r="C11" s="20" t="s">
        <v>34</v>
      </c>
    </row>
    <row r="12" spans="2:3" ht="14.25" customHeight="1" x14ac:dyDescent="0.3">
      <c r="B12" s="19">
        <v>5</v>
      </c>
      <c r="C12" s="20" t="s">
        <v>35</v>
      </c>
    </row>
    <row r="13" spans="2:3" ht="14.25" customHeight="1" x14ac:dyDescent="0.3"/>
    <row r="14" spans="2:3" ht="14.25" customHeight="1" x14ac:dyDescent="0.3"/>
    <row r="15" spans="2:3" ht="14.25" customHeight="1" x14ac:dyDescent="0.3"/>
    <row r="16" spans="2: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topLeftCell="A21" workbookViewId="0">
      <selection activeCell="G52" sqref="G52"/>
    </sheetView>
  </sheetViews>
  <sheetFormatPr defaultColWidth="14.44140625" defaultRowHeight="15" customHeight="1" x14ac:dyDescent="0.3"/>
  <cols>
    <col min="1" max="1" width="47.88671875" customWidth="1"/>
    <col min="2" max="5" width="15.6640625" customWidth="1"/>
    <col min="6" max="6" width="19.33203125" customWidth="1"/>
    <col min="7" max="26" width="8.6640625" customWidth="1"/>
  </cols>
  <sheetData>
    <row r="1" spans="1:9" ht="25.8" x14ac:dyDescent="0.5">
      <c r="A1" s="21" t="s">
        <v>273</v>
      </c>
      <c r="I1">
        <v>100</v>
      </c>
    </row>
    <row r="2" spans="1:9" ht="25.8" x14ac:dyDescent="0.5">
      <c r="A2" s="21" t="s">
        <v>36</v>
      </c>
    </row>
    <row r="3" spans="1:9" ht="14.25" customHeight="1" x14ac:dyDescent="0.3">
      <c r="A3" s="22" t="s">
        <v>37</v>
      </c>
      <c r="B3" s="23">
        <v>44256</v>
      </c>
      <c r="C3" s="23">
        <v>44621</v>
      </c>
      <c r="D3" s="23">
        <v>44986</v>
      </c>
      <c r="E3" s="23">
        <v>45352</v>
      </c>
      <c r="F3" s="23">
        <v>45717</v>
      </c>
    </row>
    <row r="4" spans="1:9" ht="14.25" customHeight="1" x14ac:dyDescent="0.3"/>
    <row r="5" spans="1:9" ht="14.25" customHeight="1" x14ac:dyDescent="0.3">
      <c r="A5" s="24" t="s">
        <v>38</v>
      </c>
    </row>
    <row r="6" spans="1:9" ht="14.25" customHeight="1" x14ac:dyDescent="0.3">
      <c r="A6" s="24" t="s">
        <v>39</v>
      </c>
    </row>
    <row r="7" spans="1:9" ht="14.25" customHeight="1" x14ac:dyDescent="0.3">
      <c r="A7" s="25" t="s">
        <v>40</v>
      </c>
      <c r="B7" s="26">
        <v>537.64779999999996</v>
      </c>
      <c r="C7" s="26">
        <v>568.03050000000007</v>
      </c>
      <c r="D7" s="26">
        <v>592.52260000000001</v>
      </c>
      <c r="E7" s="26">
        <v>571.73270000000002</v>
      </c>
      <c r="F7" s="26">
        <v>791.80499999999995</v>
      </c>
    </row>
    <row r="8" spans="1:9" ht="14.25" customHeight="1" x14ac:dyDescent="0.3">
      <c r="A8" s="27" t="s">
        <v>41</v>
      </c>
      <c r="B8" s="26">
        <v>17.9466</v>
      </c>
      <c r="C8" s="26">
        <v>74.155200000000008</v>
      </c>
      <c r="D8" s="26">
        <v>172.69709999999998</v>
      </c>
      <c r="E8" s="26">
        <v>211.48240000000001</v>
      </c>
      <c r="F8" s="26">
        <v>50.131</v>
      </c>
    </row>
    <row r="9" spans="1:9" ht="14.25" customHeight="1" x14ac:dyDescent="0.3">
      <c r="A9" s="27" t="s">
        <v>42</v>
      </c>
      <c r="B9" s="27">
        <v>6.4167999999999994</v>
      </c>
      <c r="C9" s="27">
        <v>3.577</v>
      </c>
      <c r="D9" s="27">
        <v>0.19769999999999999</v>
      </c>
      <c r="E9" s="27">
        <v>0.31969999999999998</v>
      </c>
      <c r="F9" s="27">
        <v>0.59609999999999996</v>
      </c>
    </row>
    <row r="10" spans="1:9" ht="14.25" customHeight="1" x14ac:dyDescent="0.3">
      <c r="A10" s="27" t="s">
        <v>43</v>
      </c>
      <c r="B10" s="27">
        <v>2.1533000000000002</v>
      </c>
      <c r="C10" s="27">
        <v>1.3684000000000001</v>
      </c>
      <c r="D10" s="27">
        <v>0.25989999999999996</v>
      </c>
      <c r="E10" s="27">
        <v>3.2633999999999999</v>
      </c>
      <c r="F10" s="26">
        <v>2.2843</v>
      </c>
    </row>
    <row r="11" spans="1:9" ht="14.25" customHeight="1" x14ac:dyDescent="0.3">
      <c r="A11" s="27" t="s">
        <v>44</v>
      </c>
      <c r="B11">
        <v>0</v>
      </c>
      <c r="C11">
        <v>0</v>
      </c>
      <c r="D11">
        <v>0</v>
      </c>
      <c r="E11">
        <v>0</v>
      </c>
      <c r="F11" s="26">
        <v>0.52600000000000002</v>
      </c>
    </row>
    <row r="12" spans="1:9" ht="14.25" customHeight="1" x14ac:dyDescent="0.3">
      <c r="A12" s="27" t="s">
        <v>45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9" ht="14.25" customHeight="1" x14ac:dyDescent="0.3">
      <c r="A13" s="27" t="s">
        <v>46</v>
      </c>
      <c r="B13" s="27">
        <v>0.66520000000000001</v>
      </c>
      <c r="C13" s="27">
        <v>0.92079999999999995</v>
      </c>
      <c r="D13" s="27">
        <v>0.78980000000000006</v>
      </c>
      <c r="E13" s="27">
        <v>0.66520000000000001</v>
      </c>
      <c r="F13" s="26">
        <v>18.654199999999999</v>
      </c>
    </row>
    <row r="14" spans="1:9" ht="14.25" customHeight="1" x14ac:dyDescent="0.3">
      <c r="A14" s="27" t="s">
        <v>47</v>
      </c>
      <c r="B14" s="27">
        <v>2.7719999999999998</v>
      </c>
      <c r="C14" s="27">
        <v>2.4956</v>
      </c>
      <c r="D14" s="26">
        <v>10.1951</v>
      </c>
      <c r="E14" s="27">
        <v>4.9695</v>
      </c>
      <c r="F14" s="26">
        <v>20.5641</v>
      </c>
    </row>
    <row r="15" spans="1:9" ht="14.25" customHeight="1" x14ac:dyDescent="0.3">
      <c r="A15" s="27" t="s">
        <v>48</v>
      </c>
      <c r="B15" s="27">
        <v>6.3937999999999997</v>
      </c>
      <c r="C15" s="26">
        <v>26.639400000000002</v>
      </c>
      <c r="D15" s="27">
        <v>7.6195000000000004</v>
      </c>
      <c r="E15" s="27">
        <v>7.9798999999999998</v>
      </c>
      <c r="F15" s="26">
        <v>12.6007</v>
      </c>
    </row>
    <row r="16" spans="1:9" ht="14.25" customHeight="1" x14ac:dyDescent="0.3">
      <c r="A16" s="27" t="s">
        <v>49</v>
      </c>
      <c r="B16" s="27">
        <v>1.7031999999999998</v>
      </c>
      <c r="C16" s="27">
        <v>3.6044999999999998</v>
      </c>
      <c r="D16" s="27">
        <v>2.6652</v>
      </c>
      <c r="E16" s="27">
        <v>2.6712000000000002</v>
      </c>
      <c r="F16" s="26">
        <v>1.7766</v>
      </c>
    </row>
    <row r="17" spans="1:6" ht="14.25" customHeight="1" x14ac:dyDescent="0.3">
      <c r="A17" s="28" t="s">
        <v>50</v>
      </c>
      <c r="B17" s="29">
        <f t="shared" ref="B17:F17" si="0">SUM(B7:B16)</f>
        <v>575.69870000000003</v>
      </c>
      <c r="C17" s="29">
        <f t="shared" si="0"/>
        <v>680.79140000000007</v>
      </c>
      <c r="D17" s="29">
        <f t="shared" si="0"/>
        <v>786.94690000000014</v>
      </c>
      <c r="E17" s="29">
        <f t="shared" si="0"/>
        <v>803.08400000000017</v>
      </c>
      <c r="F17" s="29">
        <f t="shared" si="0"/>
        <v>898.93799999999987</v>
      </c>
    </row>
    <row r="18" spans="1:6" ht="14.25" customHeight="1" x14ac:dyDescent="0.3">
      <c r="A18" s="24" t="s">
        <v>51</v>
      </c>
    </row>
    <row r="19" spans="1:6" ht="14.25" customHeight="1" x14ac:dyDescent="0.3">
      <c r="A19" s="27" t="s">
        <v>52</v>
      </c>
      <c r="B19" s="26">
        <v>153.6061</v>
      </c>
      <c r="C19" s="26">
        <v>195.11790000000002</v>
      </c>
      <c r="D19" s="26">
        <v>212.31470000000002</v>
      </c>
      <c r="E19" s="26">
        <v>207.9538</v>
      </c>
      <c r="F19" s="26">
        <v>239.66720000000001</v>
      </c>
    </row>
    <row r="20" spans="1:6" ht="14.25" customHeight="1" x14ac:dyDescent="0.3">
      <c r="A20" s="27" t="s">
        <v>45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ht="14.25" customHeight="1" x14ac:dyDescent="0.3">
      <c r="A21" s="27" t="s">
        <v>46</v>
      </c>
      <c r="B21" s="26">
        <v>140.9855</v>
      </c>
      <c r="C21" s="26">
        <v>73.473299999999995</v>
      </c>
      <c r="D21" s="26">
        <v>136.93010000000001</v>
      </c>
      <c r="E21" s="26">
        <v>243.70189999999999</v>
      </c>
      <c r="F21" s="26">
        <v>316.54480000000001</v>
      </c>
    </row>
    <row r="22" spans="1:6" ht="14.25" customHeight="1" x14ac:dyDescent="0.3">
      <c r="A22" s="27" t="s">
        <v>53</v>
      </c>
      <c r="B22" s="26">
        <v>177.51689999999999</v>
      </c>
      <c r="C22" s="26">
        <v>232.17419999999998</v>
      </c>
      <c r="D22" s="26">
        <v>273.75759999999997</v>
      </c>
      <c r="E22" s="26">
        <v>349.60890000000001</v>
      </c>
      <c r="F22" s="26">
        <v>521.65150000000006</v>
      </c>
    </row>
    <row r="23" spans="1:6" ht="14.25" customHeight="1" x14ac:dyDescent="0.3">
      <c r="A23" s="27" t="s">
        <v>54</v>
      </c>
      <c r="B23" s="26">
        <v>5.1441999999999997</v>
      </c>
      <c r="C23" s="26">
        <v>0.66689999999999994</v>
      </c>
      <c r="D23" s="26">
        <v>3.4992000000000001</v>
      </c>
      <c r="E23" s="26">
        <v>15.142100000000001</v>
      </c>
      <c r="F23" s="27">
        <v>0.90450000000000008</v>
      </c>
    </row>
    <row r="24" spans="1:6" ht="14.25" customHeight="1" x14ac:dyDescent="0.3">
      <c r="A24" s="27" t="s">
        <v>55</v>
      </c>
      <c r="B24" s="26">
        <v>55.675699999999999</v>
      </c>
      <c r="C24" s="26">
        <v>88.264799999999994</v>
      </c>
      <c r="D24" s="26">
        <v>39.947699999999998</v>
      </c>
      <c r="E24" s="26">
        <v>31.882300000000001</v>
      </c>
      <c r="F24" s="27">
        <v>0.27860000000000001</v>
      </c>
    </row>
    <row r="25" spans="1:6" ht="14.25" customHeight="1" x14ac:dyDescent="0.3">
      <c r="A25" s="27" t="s">
        <v>56</v>
      </c>
      <c r="B25" s="26">
        <v>22.633299999999998</v>
      </c>
      <c r="C25" s="26">
        <v>21.982199999999999</v>
      </c>
      <c r="D25" s="26">
        <v>36.599000000000004</v>
      </c>
      <c r="E25" s="26">
        <v>19.448800000000002</v>
      </c>
      <c r="F25" s="26">
        <v>40.831899999999997</v>
      </c>
    </row>
    <row r="26" spans="1:6" ht="14.25" customHeight="1" x14ac:dyDescent="0.3">
      <c r="A26" s="27" t="s">
        <v>57</v>
      </c>
      <c r="B26" s="26">
        <v>51.584300000000006</v>
      </c>
      <c r="C26" s="26">
        <v>20.9876</v>
      </c>
      <c r="D26" s="26">
        <v>24.651799999999998</v>
      </c>
      <c r="E26" s="26">
        <v>28.493299999999998</v>
      </c>
      <c r="F26" s="26">
        <v>15.3637</v>
      </c>
    </row>
    <row r="27" spans="1:6" ht="14.25" customHeight="1" x14ac:dyDescent="0.3">
      <c r="A27" s="30" t="s">
        <v>58</v>
      </c>
      <c r="B27" s="31">
        <f t="shared" ref="B27:F27" si="1">SUM(B19:B26)</f>
        <v>607.14599999999984</v>
      </c>
      <c r="C27" s="31">
        <f t="shared" si="1"/>
        <v>632.66690000000006</v>
      </c>
      <c r="D27" s="31">
        <f t="shared" si="1"/>
        <v>727.70010000000002</v>
      </c>
      <c r="E27" s="31">
        <f t="shared" si="1"/>
        <v>896.23109999999997</v>
      </c>
      <c r="F27" s="31">
        <f t="shared" si="1"/>
        <v>1135.2422000000001</v>
      </c>
    </row>
    <row r="28" spans="1:6" ht="14.25" customHeight="1" x14ac:dyDescent="0.35">
      <c r="A28" s="32" t="s">
        <v>59</v>
      </c>
      <c r="B28" s="33">
        <f t="shared" ref="B28:F28" si="2">SUM(B17,B27)</f>
        <v>1182.8446999999999</v>
      </c>
      <c r="C28" s="33">
        <f t="shared" si="2"/>
        <v>1313.4583000000002</v>
      </c>
      <c r="D28" s="33">
        <f t="shared" si="2"/>
        <v>1514.6470000000002</v>
      </c>
      <c r="E28" s="33">
        <f t="shared" si="2"/>
        <v>1699.3151000000003</v>
      </c>
      <c r="F28" s="34">
        <f t="shared" si="2"/>
        <v>2034.1802</v>
      </c>
    </row>
    <row r="29" spans="1:6" ht="14.25" customHeight="1" x14ac:dyDescent="0.3">
      <c r="A29" s="24" t="s">
        <v>60</v>
      </c>
    </row>
    <row r="30" spans="1:6" ht="14.25" customHeight="1" x14ac:dyDescent="0.3">
      <c r="A30" s="24" t="s">
        <v>61</v>
      </c>
    </row>
    <row r="31" spans="1:6" ht="14.25" customHeight="1" x14ac:dyDescent="0.3">
      <c r="A31" s="27" t="s">
        <v>62</v>
      </c>
      <c r="B31" s="27">
        <v>9.5106000000000002</v>
      </c>
      <c r="C31" s="27">
        <v>9.5106000000000002</v>
      </c>
      <c r="D31" s="26">
        <v>10.461600000000001</v>
      </c>
      <c r="E31" s="26">
        <v>10.461600000000001</v>
      </c>
      <c r="F31" s="26">
        <v>10.461600000000001</v>
      </c>
    </row>
    <row r="32" spans="1:6" ht="14.25" customHeight="1" x14ac:dyDescent="0.3">
      <c r="A32" s="27" t="s">
        <v>63</v>
      </c>
      <c r="B32" s="26">
        <v>990.16039999999998</v>
      </c>
      <c r="C32" s="26">
        <v>1097.6494</v>
      </c>
      <c r="D32" s="26">
        <v>1281.5188000000001</v>
      </c>
      <c r="E32" s="26">
        <v>1514.7904999999998</v>
      </c>
      <c r="F32" s="26">
        <v>1802.1845999999998</v>
      </c>
    </row>
    <row r="33" spans="1:6" ht="14.25" customHeight="1" x14ac:dyDescent="0.3">
      <c r="A33" s="28" t="s">
        <v>64</v>
      </c>
      <c r="B33" s="29">
        <f t="shared" ref="B33:F33" si="3">SUM(B31:B32)</f>
        <v>999.67099999999994</v>
      </c>
      <c r="C33" s="29">
        <f t="shared" si="3"/>
        <v>1107.1600000000001</v>
      </c>
      <c r="D33" s="29">
        <f t="shared" si="3"/>
        <v>1291.9804000000001</v>
      </c>
      <c r="E33" s="29">
        <f t="shared" si="3"/>
        <v>1525.2520999999999</v>
      </c>
      <c r="F33" s="29">
        <f t="shared" si="3"/>
        <v>1812.6461999999999</v>
      </c>
    </row>
    <row r="34" spans="1:6" ht="14.25" customHeight="1" x14ac:dyDescent="0.3">
      <c r="A34" s="24" t="s">
        <v>65</v>
      </c>
    </row>
    <row r="35" spans="1:6" ht="14.25" customHeight="1" x14ac:dyDescent="0.3">
      <c r="A35" s="24" t="s">
        <v>66</v>
      </c>
    </row>
    <row r="36" spans="1:6" ht="14.25" customHeight="1" x14ac:dyDescent="0.3">
      <c r="A36" s="27" t="s">
        <v>67</v>
      </c>
    </row>
    <row r="37" spans="1:6" ht="14.25" customHeight="1" x14ac:dyDescent="0.3">
      <c r="A37" s="27" t="s">
        <v>68</v>
      </c>
      <c r="B37" s="26">
        <v>56.25</v>
      </c>
      <c r="C37" s="26">
        <v>31.2486</v>
      </c>
      <c r="D37" s="27">
        <v>6.2355999999999998</v>
      </c>
      <c r="E37">
        <v>0</v>
      </c>
      <c r="F37">
        <v>0</v>
      </c>
    </row>
    <row r="38" spans="1:6" ht="14.25" customHeight="1" x14ac:dyDescent="0.3">
      <c r="A38" s="27" t="s">
        <v>69</v>
      </c>
      <c r="B38" s="27">
        <v>1.6332</v>
      </c>
      <c r="C38" s="27">
        <v>0.31069999999999998</v>
      </c>
      <c r="D38" s="27">
        <v>0.1638</v>
      </c>
      <c r="E38" s="27">
        <v>1.8869999999999998</v>
      </c>
      <c r="F38" s="27">
        <v>0.62979999999999992</v>
      </c>
    </row>
    <row r="39" spans="1:6" ht="14.25" customHeight="1" x14ac:dyDescent="0.3">
      <c r="A39" s="27" t="s">
        <v>70</v>
      </c>
      <c r="B39" s="27">
        <v>2.0983999999999998</v>
      </c>
      <c r="C39" s="27">
        <v>1.8740999999999999</v>
      </c>
      <c r="D39" s="27">
        <v>2.2965999999999998</v>
      </c>
      <c r="E39" s="27">
        <v>1.9561000000000002</v>
      </c>
      <c r="F39" s="27">
        <v>2.8199000000000001</v>
      </c>
    </row>
    <row r="40" spans="1:6" ht="14.25" customHeight="1" x14ac:dyDescent="0.3">
      <c r="A40" s="27" t="s">
        <v>71</v>
      </c>
      <c r="B40" s="26">
        <v>17.453199999999999</v>
      </c>
      <c r="C40" s="26">
        <v>20.970800000000001</v>
      </c>
      <c r="D40" s="26">
        <v>23.439</v>
      </c>
      <c r="E40" s="26">
        <v>28.064499999999999</v>
      </c>
      <c r="F40" s="26">
        <v>34.021700000000003</v>
      </c>
    </row>
    <row r="41" spans="1:6" ht="14.25" customHeight="1" x14ac:dyDescent="0.3">
      <c r="A41" s="28" t="s">
        <v>72</v>
      </c>
      <c r="B41" s="29">
        <f t="shared" ref="B41:D41" si="4">SUM(B37:B40)</f>
        <v>77.434799999999996</v>
      </c>
      <c r="C41" s="29">
        <f t="shared" si="4"/>
        <v>54.404200000000003</v>
      </c>
      <c r="D41" s="29">
        <f t="shared" si="4"/>
        <v>32.134999999999998</v>
      </c>
      <c r="E41" s="29">
        <f t="shared" ref="E41:F41" si="5">SUM(E38:E40)</f>
        <v>31.907599999999999</v>
      </c>
      <c r="F41" s="29">
        <f t="shared" si="5"/>
        <v>37.471400000000003</v>
      </c>
    </row>
    <row r="42" spans="1:6" ht="14.25" customHeight="1" x14ac:dyDescent="0.3">
      <c r="A42" s="24" t="s">
        <v>73</v>
      </c>
    </row>
    <row r="43" spans="1:6" ht="14.25" customHeight="1" x14ac:dyDescent="0.3">
      <c r="A43" s="27" t="s">
        <v>67</v>
      </c>
    </row>
    <row r="44" spans="1:6" ht="14.25" customHeight="1" x14ac:dyDescent="0.3">
      <c r="A44" s="27" t="s">
        <v>68</v>
      </c>
      <c r="B44" s="26">
        <v>30.0992</v>
      </c>
      <c r="C44" s="26">
        <v>29.337199999999999</v>
      </c>
      <c r="D44" s="26">
        <v>25</v>
      </c>
      <c r="E44" s="27">
        <v>6.2298</v>
      </c>
      <c r="F44" s="27">
        <v>0.38109999999999999</v>
      </c>
    </row>
    <row r="45" spans="1:6" ht="14.25" customHeight="1" x14ac:dyDescent="0.3">
      <c r="A45" s="27" t="s">
        <v>69</v>
      </c>
      <c r="B45" s="27">
        <v>1.3012999999999999</v>
      </c>
      <c r="C45" s="27">
        <v>1.5961000000000001</v>
      </c>
      <c r="D45" s="27">
        <v>0.1469</v>
      </c>
      <c r="E45" s="27">
        <v>1.6208</v>
      </c>
      <c r="F45" s="27">
        <v>1.9584000000000001</v>
      </c>
    </row>
    <row r="46" spans="1:6" ht="14.25" customHeight="1" x14ac:dyDescent="0.3">
      <c r="A46" s="27" t="s">
        <v>74</v>
      </c>
      <c r="B46" s="27">
        <v>46.397200000000005</v>
      </c>
      <c r="C46" s="27">
        <v>83.105599999999995</v>
      </c>
      <c r="D46" s="27">
        <v>93.8</v>
      </c>
      <c r="E46" s="27">
        <v>94.435300000000012</v>
      </c>
      <c r="F46" s="27">
        <v>113.0398</v>
      </c>
    </row>
    <row r="47" spans="1:6" ht="14.25" customHeight="1" x14ac:dyDescent="0.3">
      <c r="A47" s="27" t="s">
        <v>75</v>
      </c>
      <c r="B47" s="26">
        <v>22.819600000000001</v>
      </c>
      <c r="C47" s="26">
        <v>21.6389</v>
      </c>
      <c r="D47" s="26">
        <v>31.343499999999999</v>
      </c>
      <c r="E47" s="26">
        <v>24.206300000000002</v>
      </c>
      <c r="F47" s="26">
        <v>41.697899999999997</v>
      </c>
    </row>
    <row r="48" spans="1:6" ht="14.25" customHeight="1" x14ac:dyDescent="0.3">
      <c r="A48" s="27" t="s">
        <v>70</v>
      </c>
      <c r="B48" s="27">
        <v>0.66049999999999998</v>
      </c>
      <c r="C48" s="27">
        <v>1.7477</v>
      </c>
      <c r="D48" s="26">
        <v>27.475700000000003</v>
      </c>
      <c r="E48" s="27">
        <v>3.9018999999999999</v>
      </c>
      <c r="F48" s="27">
        <v>5.54</v>
      </c>
    </row>
    <row r="49" spans="1:6" ht="14.25" customHeight="1" x14ac:dyDescent="0.3">
      <c r="A49" s="35" t="s">
        <v>76</v>
      </c>
      <c r="B49" s="27">
        <v>4.4611000000000001</v>
      </c>
      <c r="C49" s="26">
        <v>14.468599999999999</v>
      </c>
      <c r="D49" s="26">
        <v>3.7667999999999999</v>
      </c>
      <c r="E49" s="27">
        <v>6.2675000000000001</v>
      </c>
      <c r="F49" s="26">
        <v>11.318599999999998</v>
      </c>
    </row>
    <row r="50" spans="1:6" ht="14.25" customHeight="1" x14ac:dyDescent="0.3">
      <c r="A50" s="27" t="s">
        <v>77</v>
      </c>
      <c r="B50">
        <v>0</v>
      </c>
      <c r="C50">
        <v>0</v>
      </c>
      <c r="D50" s="26">
        <v>8.9986999999999995</v>
      </c>
      <c r="E50" s="27">
        <v>5.4938000000000002</v>
      </c>
      <c r="F50" s="26">
        <v>10.126799999999999</v>
      </c>
    </row>
    <row r="51" spans="1:6" ht="14.25" customHeight="1" x14ac:dyDescent="0.3">
      <c r="A51" s="24" t="s">
        <v>78</v>
      </c>
      <c r="B51" s="36">
        <f>(SUM(B44:B50))</f>
        <v>105.7389</v>
      </c>
      <c r="C51" s="36">
        <f t="shared" ref="C51:F51" si="6">(SUM(C44:C50))</f>
        <v>151.89410000000001</v>
      </c>
      <c r="D51" s="36">
        <f t="shared" si="6"/>
        <v>190.53159999999997</v>
      </c>
      <c r="E51" s="36">
        <f t="shared" si="6"/>
        <v>142.15540000000001</v>
      </c>
      <c r="F51" s="36">
        <f t="shared" si="6"/>
        <v>184.0626</v>
      </c>
    </row>
    <row r="52" spans="1:6" ht="14.25" customHeight="1" x14ac:dyDescent="0.3">
      <c r="A52" s="30" t="s">
        <v>79</v>
      </c>
      <c r="B52" s="31">
        <f t="shared" ref="B52:F52" si="7">SUM(B41,B51)</f>
        <v>183.1737</v>
      </c>
      <c r="C52" s="31">
        <f t="shared" si="7"/>
        <v>206.29830000000001</v>
      </c>
      <c r="D52" s="31">
        <f t="shared" si="7"/>
        <v>222.66659999999996</v>
      </c>
      <c r="E52" s="31">
        <f t="shared" si="7"/>
        <v>174.06300000000002</v>
      </c>
      <c r="F52" s="31">
        <f t="shared" si="7"/>
        <v>221.53399999999999</v>
      </c>
    </row>
    <row r="53" spans="1:6" ht="14.25" customHeight="1" x14ac:dyDescent="0.35">
      <c r="A53" s="32" t="s">
        <v>80</v>
      </c>
      <c r="B53" s="33">
        <f t="shared" ref="B53:F53" si="8">SUM(B33,B52)</f>
        <v>1182.8446999999999</v>
      </c>
      <c r="C53" s="33">
        <f t="shared" si="8"/>
        <v>1313.4583</v>
      </c>
      <c r="D53" s="33">
        <f t="shared" si="8"/>
        <v>1514.6470000000002</v>
      </c>
      <c r="E53" s="33">
        <f t="shared" si="8"/>
        <v>1699.3151</v>
      </c>
      <c r="F53" s="34">
        <f t="shared" si="8"/>
        <v>2034.1801999999998</v>
      </c>
    </row>
    <row r="54" spans="1:6" ht="14.25" customHeight="1" x14ac:dyDescent="0.3"/>
    <row r="55" spans="1:6" ht="14.25" customHeight="1" x14ac:dyDescent="0.3"/>
    <row r="56" spans="1:6" ht="14.25" customHeight="1" x14ac:dyDescent="0.3"/>
    <row r="57" spans="1:6" ht="14.25" customHeight="1" x14ac:dyDescent="0.3"/>
    <row r="58" spans="1:6" ht="14.25" customHeight="1" x14ac:dyDescent="0.3"/>
    <row r="59" spans="1:6" ht="14.25" customHeight="1" x14ac:dyDescent="0.3"/>
    <row r="60" spans="1:6" ht="14.25" customHeight="1" x14ac:dyDescent="0.3"/>
    <row r="61" spans="1:6" ht="14.25" customHeight="1" x14ac:dyDescent="0.3"/>
    <row r="62" spans="1:6" ht="14.25" customHeight="1" x14ac:dyDescent="0.3"/>
    <row r="63" spans="1:6" ht="14.25" customHeight="1" x14ac:dyDescent="0.3"/>
    <row r="64" spans="1:6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9" sqref="E9"/>
    </sheetView>
  </sheetViews>
  <sheetFormatPr defaultColWidth="14.44140625" defaultRowHeight="15" customHeight="1" x14ac:dyDescent="0.3"/>
  <cols>
    <col min="1" max="1" width="26.6640625" customWidth="1"/>
    <col min="2" max="6" width="13.44140625" customWidth="1"/>
    <col min="7" max="26" width="8.6640625" customWidth="1"/>
  </cols>
  <sheetData>
    <row r="1" spans="1:26" ht="14.25" customHeight="1" x14ac:dyDescent="0.3">
      <c r="A1" s="24" t="str">
        <f>'[2]Balance Sheet'!A1</f>
        <v>CONCORD BIOTECH LTD</v>
      </c>
      <c r="B1" s="24"/>
      <c r="C1" s="24"/>
      <c r="D1" s="24"/>
      <c r="E1" s="37" t="s">
        <v>81</v>
      </c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4.25" customHeight="1" x14ac:dyDescent="0.3"/>
    <row r="3" spans="1:26" ht="14.25" customHeight="1" x14ac:dyDescent="0.3">
      <c r="A3" s="38" t="s">
        <v>82</v>
      </c>
      <c r="B3" s="39">
        <v>44256</v>
      </c>
      <c r="C3" s="39">
        <v>44621</v>
      </c>
      <c r="D3" s="39">
        <v>44986</v>
      </c>
      <c r="E3" s="39">
        <v>45352</v>
      </c>
      <c r="F3" s="39">
        <v>45717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4.25" customHeight="1" x14ac:dyDescent="0.3">
      <c r="A4" s="24" t="s">
        <v>83</v>
      </c>
      <c r="B4" s="40">
        <v>166.81</v>
      </c>
      <c r="C4" s="40">
        <v>207.47</v>
      </c>
      <c r="D4" s="40">
        <v>246</v>
      </c>
      <c r="E4" s="40">
        <v>265.47000000000003</v>
      </c>
      <c r="F4" s="40">
        <v>244.52</v>
      </c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spans="1:26" ht="14.25" customHeight="1" x14ac:dyDescent="0.3">
      <c r="A5" s="27" t="s">
        <v>84</v>
      </c>
      <c r="B5" s="41">
        <v>-195.44</v>
      </c>
      <c r="C5" s="41">
        <v>-111.79</v>
      </c>
      <c r="D5" s="41">
        <v>-157.94999999999999</v>
      </c>
      <c r="E5" s="41">
        <v>-154.61000000000001</v>
      </c>
      <c r="F5" s="41">
        <v>-159.99</v>
      </c>
    </row>
    <row r="6" spans="1:26" ht="14.25" customHeight="1" x14ac:dyDescent="0.3">
      <c r="A6" s="27" t="s">
        <v>85</v>
      </c>
      <c r="B6" s="41">
        <v>31.37</v>
      </c>
      <c r="C6" s="41">
        <v>-100.16</v>
      </c>
      <c r="D6" s="41">
        <v>-85.22</v>
      </c>
      <c r="E6" s="41">
        <v>-99.21</v>
      </c>
      <c r="F6" s="41">
        <v>-98.77</v>
      </c>
    </row>
    <row r="7" spans="1:26" ht="14.25" customHeight="1" x14ac:dyDescent="0.3">
      <c r="A7" s="24" t="s">
        <v>86</v>
      </c>
      <c r="B7" s="42" t="s">
        <v>87</v>
      </c>
      <c r="C7" s="40">
        <v>-4.4800000000000004</v>
      </c>
      <c r="D7" s="40">
        <v>2.83</v>
      </c>
      <c r="E7" s="40">
        <v>11.64</v>
      </c>
      <c r="F7" s="40">
        <v>-14.24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14.25" customHeight="1" x14ac:dyDescent="0.3">
      <c r="A8" s="27" t="s">
        <v>88</v>
      </c>
      <c r="B8" s="41"/>
      <c r="C8" s="41">
        <f>'Working capital and Capex'!C7-'Working capital and Capex'!B7</f>
        <v>59.460700000000031</v>
      </c>
      <c r="D8" s="41">
        <f>'Working capital and Capex'!D7-'Working capital and Capex'!C7</f>
        <v>48.085799999999949</v>
      </c>
      <c r="E8" s="41">
        <f>'Working capital and Capex'!E7-'Working capital and Capex'!D7</f>
        <v>70.855099999999993</v>
      </c>
      <c r="F8" s="41">
        <f>'Working capital and Capex'!F7-'Working capital and Capex'!E7</f>
        <v>185.15150000000006</v>
      </c>
    </row>
    <row r="9" spans="1:26" ht="14.25" customHeight="1" x14ac:dyDescent="0.3">
      <c r="A9" s="27" t="s">
        <v>89</v>
      </c>
      <c r="B9" s="27">
        <v>138.47</v>
      </c>
      <c r="C9" s="27">
        <v>135.22</v>
      </c>
      <c r="D9" s="27">
        <v>231.17</v>
      </c>
      <c r="E9" s="27">
        <v>241.61</v>
      </c>
      <c r="F9" s="27">
        <v>113.97</v>
      </c>
    </row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hyperlinks>
    <hyperlink ref="E1" r:id="rId1" xr:uid="{00000000-0004-0000-0300-000000000000}"/>
  </hyperlinks>
  <printOptions gridLines="1"/>
  <pageMargins left="0.7" right="0.7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99"/>
  <sheetViews>
    <sheetView tabSelected="1" topLeftCell="B15" workbookViewId="0">
      <selection activeCell="B40" sqref="B40"/>
    </sheetView>
  </sheetViews>
  <sheetFormatPr defaultColWidth="14.44140625" defaultRowHeight="15" customHeight="1" x14ac:dyDescent="0.3"/>
  <cols>
    <col min="1" max="1" width="8.6640625" customWidth="1"/>
    <col min="2" max="2" width="207.6640625" customWidth="1"/>
    <col min="3" max="26" width="8.6640625" customWidth="1"/>
  </cols>
  <sheetData>
    <row r="1" spans="1:2" ht="14.25" customHeight="1" x14ac:dyDescent="0.35">
      <c r="A1" s="43">
        <v>1</v>
      </c>
      <c r="B1" s="44" t="s">
        <v>90</v>
      </c>
    </row>
    <row r="2" spans="1:2" ht="14.25" customHeight="1" x14ac:dyDescent="0.3">
      <c r="A2" s="27" t="s">
        <v>91</v>
      </c>
      <c r="B2" s="27" t="s">
        <v>92</v>
      </c>
    </row>
    <row r="3" spans="1:2" ht="14.25" customHeight="1" x14ac:dyDescent="0.3">
      <c r="A3" s="27" t="s">
        <v>93</v>
      </c>
      <c r="B3" s="27" t="s">
        <v>94</v>
      </c>
    </row>
    <row r="4" spans="1:2" ht="14.25" customHeight="1" x14ac:dyDescent="0.3">
      <c r="A4" s="27" t="s">
        <v>95</v>
      </c>
      <c r="B4" s="27" t="s">
        <v>96</v>
      </c>
    </row>
    <row r="5" spans="1:2" ht="14.25" customHeight="1" x14ac:dyDescent="0.3"/>
    <row r="6" spans="1:2" ht="14.25" customHeight="1" x14ac:dyDescent="0.35">
      <c r="A6" s="45">
        <v>2</v>
      </c>
      <c r="B6" s="46" t="s">
        <v>97</v>
      </c>
    </row>
    <row r="7" spans="1:2" ht="14.25" customHeight="1" x14ac:dyDescent="0.3">
      <c r="A7" s="27" t="s">
        <v>91</v>
      </c>
      <c r="B7" s="27" t="s">
        <v>98</v>
      </c>
    </row>
    <row r="8" spans="1:2" ht="14.25" customHeight="1" x14ac:dyDescent="0.3">
      <c r="A8" s="27" t="s">
        <v>93</v>
      </c>
      <c r="B8" s="27" t="s">
        <v>99</v>
      </c>
    </row>
    <row r="9" spans="1:2" ht="14.25" customHeight="1" x14ac:dyDescent="0.3">
      <c r="A9" s="27" t="s">
        <v>95</v>
      </c>
      <c r="B9" s="27" t="s">
        <v>100</v>
      </c>
    </row>
    <row r="10" spans="1:2" ht="14.25" customHeight="1" x14ac:dyDescent="0.3">
      <c r="A10" s="27" t="s">
        <v>101</v>
      </c>
      <c r="B10" s="27" t="s">
        <v>102</v>
      </c>
    </row>
    <row r="11" spans="1:2" ht="14.25" customHeight="1" x14ac:dyDescent="0.3"/>
    <row r="12" spans="1:2" ht="14.25" customHeight="1" x14ac:dyDescent="0.35">
      <c r="A12" s="45">
        <v>3</v>
      </c>
      <c r="B12" s="46" t="s">
        <v>103</v>
      </c>
    </row>
    <row r="13" spans="1:2" ht="14.25" customHeight="1" x14ac:dyDescent="0.3">
      <c r="A13" s="27" t="s">
        <v>91</v>
      </c>
      <c r="B13" s="27" t="s">
        <v>104</v>
      </c>
    </row>
    <row r="14" spans="1:2" ht="14.25" customHeight="1" x14ac:dyDescent="0.3">
      <c r="A14" s="27" t="s">
        <v>93</v>
      </c>
      <c r="B14" s="27" t="s">
        <v>105</v>
      </c>
    </row>
    <row r="15" spans="1:2" ht="14.25" customHeight="1" x14ac:dyDescent="0.3">
      <c r="A15" s="27" t="s">
        <v>95</v>
      </c>
      <c r="B15" s="27" t="s">
        <v>106</v>
      </c>
    </row>
    <row r="16" spans="1:2" ht="14.25" customHeight="1" x14ac:dyDescent="0.3"/>
    <row r="17" spans="1:2" ht="14.25" customHeight="1" x14ac:dyDescent="0.35">
      <c r="A17" s="45">
        <v>4</v>
      </c>
      <c r="B17" s="46" t="s">
        <v>107</v>
      </c>
    </row>
    <row r="18" spans="1:2" ht="14.25" customHeight="1" x14ac:dyDescent="0.3">
      <c r="A18" s="27" t="s">
        <v>91</v>
      </c>
      <c r="B18" s="27" t="s">
        <v>108</v>
      </c>
    </row>
    <row r="19" spans="1:2" ht="14.25" customHeight="1" x14ac:dyDescent="0.3">
      <c r="A19" s="27" t="s">
        <v>93</v>
      </c>
      <c r="B19" s="27" t="s">
        <v>109</v>
      </c>
    </row>
    <row r="20" spans="1:2" ht="14.25" customHeight="1" x14ac:dyDescent="0.3"/>
    <row r="21" spans="1:2" ht="14.25" customHeight="1" x14ac:dyDescent="0.35">
      <c r="A21" s="45">
        <v>5</v>
      </c>
      <c r="B21" s="46" t="s">
        <v>110</v>
      </c>
    </row>
    <row r="22" spans="1:2" ht="14.25" customHeight="1" x14ac:dyDescent="0.3">
      <c r="A22" s="27" t="s">
        <v>91</v>
      </c>
      <c r="B22" s="27" t="s">
        <v>111</v>
      </c>
    </row>
    <row r="23" spans="1:2" ht="14.25" customHeight="1" x14ac:dyDescent="0.3">
      <c r="A23" s="27" t="s">
        <v>93</v>
      </c>
      <c r="B23" s="27" t="s">
        <v>112</v>
      </c>
    </row>
    <row r="24" spans="1:2" ht="14.25" customHeight="1" x14ac:dyDescent="0.3">
      <c r="A24" s="27" t="s">
        <v>95</v>
      </c>
      <c r="B24" s="27" t="s">
        <v>113</v>
      </c>
    </row>
    <row r="25" spans="1:2" ht="14.25" customHeight="1" x14ac:dyDescent="0.3">
      <c r="A25" s="27" t="s">
        <v>101</v>
      </c>
      <c r="B25" s="27" t="s">
        <v>114</v>
      </c>
    </row>
    <row r="26" spans="1:2" ht="14.25" customHeight="1" x14ac:dyDescent="0.3"/>
    <row r="27" spans="1:2" ht="14.25" customHeight="1" x14ac:dyDescent="0.35">
      <c r="A27" s="45">
        <v>6</v>
      </c>
      <c r="B27" s="46" t="s">
        <v>115</v>
      </c>
    </row>
    <row r="28" spans="1:2" ht="14.25" customHeight="1" x14ac:dyDescent="0.3">
      <c r="A28" s="27" t="s">
        <v>91</v>
      </c>
      <c r="B28" s="219" t="s">
        <v>280</v>
      </c>
    </row>
    <row r="29" spans="1:2" ht="14.25" customHeight="1" x14ac:dyDescent="0.3">
      <c r="A29" s="27" t="s">
        <v>93</v>
      </c>
      <c r="B29" s="219" t="s">
        <v>278</v>
      </c>
    </row>
    <row r="30" spans="1:2" ht="14.25" customHeight="1" x14ac:dyDescent="0.3">
      <c r="A30" s="27" t="s">
        <v>95</v>
      </c>
      <c r="B30" s="219" t="s">
        <v>282</v>
      </c>
    </row>
    <row r="31" spans="1:2" ht="14.25" customHeight="1" x14ac:dyDescent="0.3">
      <c r="A31" s="27" t="s">
        <v>101</v>
      </c>
      <c r="B31" s="27" t="s">
        <v>116</v>
      </c>
    </row>
    <row r="32" spans="1:2" ht="14.25" customHeight="1" x14ac:dyDescent="0.3">
      <c r="A32" s="27" t="s">
        <v>117</v>
      </c>
      <c r="B32" s="219" t="s">
        <v>277</v>
      </c>
    </row>
    <row r="33" spans="1:2" ht="14.25" customHeight="1" x14ac:dyDescent="0.3">
      <c r="A33" s="27" t="s">
        <v>118</v>
      </c>
      <c r="B33" s="219" t="s">
        <v>283</v>
      </c>
    </row>
    <row r="34" spans="1:2" ht="14.25" customHeight="1" x14ac:dyDescent="0.3">
      <c r="A34" s="27" t="s">
        <v>119</v>
      </c>
      <c r="B34" s="27" t="s">
        <v>120</v>
      </c>
    </row>
    <row r="35" spans="1:2" ht="14.25" customHeight="1" x14ac:dyDescent="0.3">
      <c r="A35" s="27" t="s">
        <v>121</v>
      </c>
      <c r="B35" s="219" t="s">
        <v>279</v>
      </c>
    </row>
    <row r="36" spans="1:2" ht="14.25" customHeight="1" x14ac:dyDescent="0.3"/>
    <row r="37" spans="1:2" ht="14.25" customHeight="1" x14ac:dyDescent="0.3"/>
    <row r="38" spans="1:2" ht="14.25" customHeight="1" x14ac:dyDescent="0.3"/>
    <row r="39" spans="1:2" ht="14.25" customHeight="1" x14ac:dyDescent="0.3"/>
    <row r="40" spans="1:2" ht="14.25" customHeight="1" x14ac:dyDescent="0.3"/>
    <row r="41" spans="1:2" ht="14.25" customHeight="1" x14ac:dyDescent="0.3"/>
    <row r="42" spans="1:2" ht="14.25" customHeight="1" x14ac:dyDescent="0.3"/>
    <row r="43" spans="1:2" ht="14.25" customHeight="1" x14ac:dyDescent="0.3"/>
    <row r="44" spans="1:2" ht="14.25" customHeight="1" x14ac:dyDescent="0.3"/>
    <row r="45" spans="1:2" ht="14.25" customHeight="1" x14ac:dyDescent="0.3"/>
    <row r="46" spans="1:2" ht="14.25" customHeight="1" x14ac:dyDescent="0.3"/>
    <row r="47" spans="1:2" ht="14.25" customHeight="1" x14ac:dyDescent="0.3"/>
    <row r="48" spans="1:2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0"/>
  <sheetViews>
    <sheetView topLeftCell="A16" workbookViewId="0">
      <selection activeCell="A40" sqref="A40"/>
    </sheetView>
  </sheetViews>
  <sheetFormatPr defaultColWidth="14.44140625" defaultRowHeight="15" customHeight="1" x14ac:dyDescent="0.3"/>
  <cols>
    <col min="1" max="1" width="64.109375" customWidth="1"/>
    <col min="2" max="4" width="11" customWidth="1"/>
    <col min="5" max="7" width="12.6640625" customWidth="1"/>
    <col min="8" max="11" width="13.6640625" customWidth="1"/>
    <col min="12" max="26" width="8.6640625" customWidth="1"/>
  </cols>
  <sheetData>
    <row r="1" spans="1:12" ht="25.8" x14ac:dyDescent="0.5">
      <c r="A1" s="21" t="s">
        <v>274</v>
      </c>
      <c r="L1">
        <v>100</v>
      </c>
    </row>
    <row r="2" spans="1:12" ht="25.8" x14ac:dyDescent="0.5">
      <c r="A2" s="21" t="s">
        <v>36</v>
      </c>
    </row>
    <row r="3" spans="1:12" ht="14.25" customHeight="1" x14ac:dyDescent="0.3">
      <c r="A3" s="47"/>
      <c r="B3" s="241" t="s">
        <v>122</v>
      </c>
      <c r="C3" s="242"/>
      <c r="D3" s="242"/>
      <c r="E3" s="242"/>
      <c r="F3" s="242"/>
      <c r="G3" s="243" t="s">
        <v>123</v>
      </c>
      <c r="H3" s="242"/>
      <c r="I3" s="242"/>
      <c r="J3" s="242"/>
      <c r="K3" s="242"/>
    </row>
    <row r="4" spans="1:12" ht="14.25" customHeight="1" x14ac:dyDescent="0.3">
      <c r="A4" s="48" t="s">
        <v>37</v>
      </c>
      <c r="B4" s="39">
        <f>Balancesheet!B3</f>
        <v>44256</v>
      </c>
      <c r="C4" s="39">
        <f>Balancesheet!C3</f>
        <v>44621</v>
      </c>
      <c r="D4" s="39">
        <f>Balancesheet!D3</f>
        <v>44986</v>
      </c>
      <c r="E4" s="39">
        <f>Balancesheet!E3</f>
        <v>45352</v>
      </c>
      <c r="F4" s="39">
        <f>Balancesheet!F3</f>
        <v>45717</v>
      </c>
      <c r="G4" s="49">
        <v>46082</v>
      </c>
      <c r="H4" s="49">
        <v>46447</v>
      </c>
      <c r="I4" s="49">
        <v>46813</v>
      </c>
      <c r="J4" s="49">
        <v>47178</v>
      </c>
      <c r="K4" s="49">
        <v>47543</v>
      </c>
    </row>
    <row r="5" spans="1:12" ht="14.25" customHeight="1" x14ac:dyDescent="0.3">
      <c r="A5" s="47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2" ht="14.25" customHeight="1" x14ac:dyDescent="0.3">
      <c r="A6" s="50" t="s">
        <v>124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2" ht="14.25" customHeight="1" x14ac:dyDescent="0.3">
      <c r="A7" s="51" t="s">
        <v>125</v>
      </c>
      <c r="B7" s="52">
        <v>616.94320000000005</v>
      </c>
      <c r="C7" s="52">
        <v>712.93350000000009</v>
      </c>
      <c r="D7" s="52">
        <v>853.16820000000007</v>
      </c>
      <c r="E7" s="52">
        <v>1016.9392</v>
      </c>
      <c r="F7" s="52">
        <v>1200.0869</v>
      </c>
      <c r="G7" s="53">
        <f t="shared" ref="G7:K7" si="0">F7*(1+G8)</f>
        <v>1440.10428</v>
      </c>
      <c r="H7" s="53">
        <f t="shared" si="0"/>
        <v>1756.9272215999999</v>
      </c>
      <c r="I7" s="53">
        <f t="shared" si="0"/>
        <v>2161.0204825679998</v>
      </c>
      <c r="J7" s="53">
        <f t="shared" si="0"/>
        <v>2658.0551935586395</v>
      </c>
      <c r="K7" s="54">
        <f t="shared" si="0"/>
        <v>3295.988440012713</v>
      </c>
    </row>
    <row r="8" spans="1:12" ht="14.25" customHeight="1" x14ac:dyDescent="0.3">
      <c r="A8" s="47" t="s">
        <v>126</v>
      </c>
      <c r="B8" s="55"/>
      <c r="C8" s="56">
        <f t="shared" ref="C8:F8" si="1">C7/B7-1</f>
        <v>0.15559017426563759</v>
      </c>
      <c r="D8" s="56">
        <f t="shared" si="1"/>
        <v>0.1967009545771099</v>
      </c>
      <c r="E8" s="56">
        <f t="shared" si="1"/>
        <v>0.19195628716588353</v>
      </c>
      <c r="F8" s="56">
        <f t="shared" si="1"/>
        <v>0.18009700088264857</v>
      </c>
      <c r="G8" s="56">
        <v>0.2</v>
      </c>
      <c r="H8" s="56">
        <v>0.22</v>
      </c>
      <c r="I8" s="56">
        <v>0.23</v>
      </c>
      <c r="J8" s="56">
        <v>0.23</v>
      </c>
      <c r="K8" s="56">
        <v>0.24</v>
      </c>
    </row>
    <row r="9" spans="1:12" ht="14.25" customHeight="1" x14ac:dyDescent="0.3">
      <c r="A9" s="47"/>
      <c r="B9" s="57"/>
      <c r="C9" s="58"/>
      <c r="D9" s="58"/>
      <c r="E9" s="58"/>
      <c r="F9" s="58"/>
      <c r="G9" s="1"/>
      <c r="H9" s="1"/>
      <c r="I9" s="1"/>
      <c r="J9" s="1"/>
      <c r="K9" s="1"/>
    </row>
    <row r="10" spans="1:12" ht="14.25" customHeight="1" x14ac:dyDescent="0.3">
      <c r="A10" s="51" t="s">
        <v>127</v>
      </c>
      <c r="B10" s="52">
        <v>13.807</v>
      </c>
      <c r="C10" s="52">
        <v>23.416499999999999</v>
      </c>
      <c r="D10" s="52">
        <v>35.3093</v>
      </c>
      <c r="E10" s="52">
        <v>33.78</v>
      </c>
      <c r="F10" s="52">
        <v>44.4467</v>
      </c>
      <c r="G10" s="53">
        <f t="shared" ref="G10:K10" si="2">G11*G7</f>
        <v>48.060492950619526</v>
      </c>
      <c r="H10" s="53">
        <f t="shared" si="2"/>
        <v>58.633801399755818</v>
      </c>
      <c r="I10" s="53">
        <f t="shared" si="2"/>
        <v>72.119575721699647</v>
      </c>
      <c r="J10" s="53">
        <f t="shared" si="2"/>
        <v>88.707078137690559</v>
      </c>
      <c r="K10" s="54">
        <f t="shared" si="2"/>
        <v>109.9967768907363</v>
      </c>
    </row>
    <row r="11" spans="1:12" ht="14.25" customHeight="1" x14ac:dyDescent="0.3">
      <c r="A11" s="47" t="s">
        <v>128</v>
      </c>
      <c r="B11" s="56">
        <f t="shared" ref="B11:F11" si="3">B10/B7</f>
        <v>2.2379693949135023E-2</v>
      </c>
      <c r="C11" s="56">
        <f t="shared" si="3"/>
        <v>3.2845279398429163E-2</v>
      </c>
      <c r="D11" s="56">
        <f t="shared" si="3"/>
        <v>4.1386094793500271E-2</v>
      </c>
      <c r="E11" s="56">
        <f t="shared" si="3"/>
        <v>3.3217325086888183E-2</v>
      </c>
      <c r="F11" s="56">
        <f t="shared" si="3"/>
        <v>3.7036234626009169E-2</v>
      </c>
      <c r="G11" s="56">
        <f t="shared" ref="G11:K11" si="4">AVERAGE($B$11:$F$11)</f>
        <v>3.3372925570792362E-2</v>
      </c>
      <c r="H11" s="56">
        <f t="shared" si="4"/>
        <v>3.3372925570792362E-2</v>
      </c>
      <c r="I11" s="56">
        <f t="shared" si="4"/>
        <v>3.3372925570792362E-2</v>
      </c>
      <c r="J11" s="56">
        <f t="shared" si="4"/>
        <v>3.3372925570792362E-2</v>
      </c>
      <c r="K11" s="56">
        <f t="shared" si="4"/>
        <v>3.3372925570792362E-2</v>
      </c>
    </row>
    <row r="12" spans="1:12" ht="14.25" customHeight="1" x14ac:dyDescent="0.3">
      <c r="A12" s="47"/>
      <c r="B12" s="58"/>
      <c r="C12" s="58"/>
      <c r="D12" s="58"/>
      <c r="E12" s="58"/>
      <c r="F12" s="58"/>
      <c r="G12" s="58"/>
      <c r="H12" s="58"/>
      <c r="I12" s="58"/>
      <c r="J12" s="58"/>
      <c r="K12" s="58"/>
    </row>
    <row r="13" spans="1:12" ht="14.25" customHeight="1" x14ac:dyDescent="0.3">
      <c r="A13" s="59" t="s">
        <v>129</v>
      </c>
      <c r="B13" s="60">
        <f t="shared" ref="B13:K13" si="5">SUM(B7,B10)</f>
        <v>630.75020000000006</v>
      </c>
      <c r="C13" s="60">
        <f t="shared" si="5"/>
        <v>736.35000000000014</v>
      </c>
      <c r="D13" s="60">
        <f t="shared" si="5"/>
        <v>888.47750000000008</v>
      </c>
      <c r="E13" s="60">
        <f t="shared" si="5"/>
        <v>1050.7192</v>
      </c>
      <c r="F13" s="60">
        <f t="shared" si="5"/>
        <v>1244.5336</v>
      </c>
      <c r="G13" s="60">
        <f t="shared" si="5"/>
        <v>1488.1647729506196</v>
      </c>
      <c r="H13" s="60">
        <f t="shared" si="5"/>
        <v>1815.5610229997558</v>
      </c>
      <c r="I13" s="60">
        <f t="shared" si="5"/>
        <v>2233.1400582896995</v>
      </c>
      <c r="J13" s="60">
        <f t="shared" si="5"/>
        <v>2746.7622716963301</v>
      </c>
      <c r="K13" s="61">
        <f t="shared" si="5"/>
        <v>3405.9852169034493</v>
      </c>
    </row>
    <row r="14" spans="1:12" ht="14.25" customHeight="1" x14ac:dyDescent="0.3">
      <c r="A14" s="47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2" ht="14.25" customHeight="1" x14ac:dyDescent="0.3">
      <c r="A15" s="62" t="s">
        <v>130</v>
      </c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2" ht="14.25" customHeight="1" x14ac:dyDescent="0.3">
      <c r="A16" s="51" t="s">
        <v>131</v>
      </c>
      <c r="B16" s="52">
        <v>131.16819999999998</v>
      </c>
      <c r="C16" s="52">
        <v>157.25739999999999</v>
      </c>
      <c r="D16" s="52">
        <v>167.07150000000001</v>
      </c>
      <c r="E16" s="52">
        <v>184.53709999999998</v>
      </c>
      <c r="F16" s="52">
        <v>264.31259999999997</v>
      </c>
      <c r="G16" s="53">
        <f t="shared" ref="G16:K16" si="6">G17*G7</f>
        <v>296.86897235466859</v>
      </c>
      <c r="H16" s="53">
        <f t="shared" si="6"/>
        <v>359.90816960763868</v>
      </c>
      <c r="I16" s="53">
        <f t="shared" si="6"/>
        <v>435.88977076190992</v>
      </c>
      <c r="J16" s="53">
        <f t="shared" si="6"/>
        <v>539.27067140809515</v>
      </c>
      <c r="K16" s="54">
        <f t="shared" si="6"/>
        <v>682.81459919643214</v>
      </c>
    </row>
    <row r="17" spans="1:11" ht="14.25" customHeight="1" x14ac:dyDescent="0.3">
      <c r="A17" s="47" t="s">
        <v>128</v>
      </c>
      <c r="B17" s="56">
        <f t="shared" ref="B17:F17" si="7">B16/B7</f>
        <v>0.21260984803787444</v>
      </c>
      <c r="C17" s="56">
        <f t="shared" si="7"/>
        <v>0.22057793609081347</v>
      </c>
      <c r="D17" s="56">
        <f t="shared" si="7"/>
        <v>0.19582480922284726</v>
      </c>
      <c r="E17" s="56">
        <f t="shared" si="7"/>
        <v>0.1814632575870809</v>
      </c>
      <c r="F17" s="56">
        <f t="shared" si="7"/>
        <v>0.22024455062379231</v>
      </c>
      <c r="G17" s="56">
        <f t="shared" ref="G17:K17" si="8">AVERAGE(B17:F17)</f>
        <v>0.20614408031248166</v>
      </c>
      <c r="H17" s="56">
        <f t="shared" si="8"/>
        <v>0.20485092676740316</v>
      </c>
      <c r="I17" s="56">
        <f t="shared" si="8"/>
        <v>0.20170552490272103</v>
      </c>
      <c r="J17" s="56">
        <f t="shared" si="8"/>
        <v>0.20288166803869578</v>
      </c>
      <c r="K17" s="56">
        <f t="shared" si="8"/>
        <v>0.20716535012901879</v>
      </c>
    </row>
    <row r="18" spans="1:11" ht="14.25" customHeight="1" x14ac:dyDescent="0.3">
      <c r="A18" s="47"/>
      <c r="B18" s="58"/>
      <c r="C18" s="58"/>
      <c r="D18" s="58"/>
      <c r="E18" s="58"/>
      <c r="F18" s="58"/>
      <c r="G18" s="58"/>
      <c r="H18" s="58"/>
      <c r="I18" s="58"/>
      <c r="J18" s="58"/>
      <c r="K18" s="58"/>
    </row>
    <row r="19" spans="1:11" ht="14.25" customHeight="1" x14ac:dyDescent="0.3">
      <c r="A19" s="51" t="s">
        <v>132</v>
      </c>
      <c r="B19" s="52">
        <v>19.445699999999999</v>
      </c>
      <c r="C19" s="52">
        <v>30.733400000000003</v>
      </c>
      <c r="D19" s="52">
        <v>28.768699999999999</v>
      </c>
      <c r="E19" s="52">
        <v>56.738900000000001</v>
      </c>
      <c r="F19" s="52">
        <v>55.987200000000001</v>
      </c>
      <c r="G19" s="53">
        <f t="shared" ref="G19:K19" si="9">G20*G7</f>
        <v>60.713087498366512</v>
      </c>
      <c r="H19" s="53">
        <f t="shared" si="9"/>
        <v>77.808490046859291</v>
      </c>
      <c r="I19" s="53">
        <f t="shared" si="9"/>
        <v>96.213717870055206</v>
      </c>
      <c r="J19" s="53">
        <f t="shared" si="9"/>
        <v>124.08560541590288</v>
      </c>
      <c r="K19" s="54">
        <f t="shared" si="9"/>
        <v>147.86023840884533</v>
      </c>
    </row>
    <row r="20" spans="1:11" ht="14.25" customHeight="1" x14ac:dyDescent="0.3">
      <c r="A20" s="47" t="s">
        <v>128</v>
      </c>
      <c r="B20" s="56">
        <f t="shared" ref="B20:F20" si="10">B19/B7</f>
        <v>3.1519433231454688E-2</v>
      </c>
      <c r="C20" s="56">
        <f t="shared" si="10"/>
        <v>4.3108368452317081E-2</v>
      </c>
      <c r="D20" s="56">
        <f t="shared" si="10"/>
        <v>3.3719845629501893E-2</v>
      </c>
      <c r="E20" s="56">
        <f t="shared" si="10"/>
        <v>5.5793797701966845E-2</v>
      </c>
      <c r="F20" s="56">
        <f t="shared" si="10"/>
        <v>4.665262157265445E-2</v>
      </c>
      <c r="G20" s="56">
        <f t="shared" ref="G20:K20" si="11">AVERAGE(B20:F20)</f>
        <v>4.2158813317578994E-2</v>
      </c>
      <c r="H20" s="56">
        <f t="shared" si="11"/>
        <v>4.4286689334803855E-2</v>
      </c>
      <c r="I20" s="56">
        <f t="shared" si="11"/>
        <v>4.4522353511301203E-2</v>
      </c>
      <c r="J20" s="56">
        <f t="shared" si="11"/>
        <v>4.6682855087661075E-2</v>
      </c>
      <c r="K20" s="56">
        <f t="shared" si="11"/>
        <v>4.4860666564799916E-2</v>
      </c>
    </row>
    <row r="21" spans="1:11" ht="14.25" customHeight="1" x14ac:dyDescent="0.3">
      <c r="A21" s="47"/>
      <c r="B21" s="58"/>
      <c r="C21" s="58"/>
      <c r="D21" s="58"/>
      <c r="E21" s="58"/>
      <c r="F21" s="58"/>
      <c r="G21" s="58"/>
      <c r="H21" s="58"/>
      <c r="I21" s="58"/>
      <c r="J21" s="58"/>
      <c r="K21" s="58"/>
    </row>
    <row r="22" spans="1:11" ht="14.25" customHeight="1" x14ac:dyDescent="0.3">
      <c r="A22" s="51" t="s">
        <v>133</v>
      </c>
      <c r="B22" s="52">
        <v>-39.0456</v>
      </c>
      <c r="C22" s="52">
        <v>-23.980100000000004</v>
      </c>
      <c r="D22" s="52">
        <v>-15.632</v>
      </c>
      <c r="E22" s="52">
        <v>-12.0779</v>
      </c>
      <c r="F22" s="52">
        <v>-14.786700000000002</v>
      </c>
      <c r="G22" s="53">
        <f t="shared" ref="G22:K22" si="12">G23*G7</f>
        <v>-40.163067019823551</v>
      </c>
      <c r="H22" s="53">
        <f t="shared" si="12"/>
        <v>-36.559964044649071</v>
      </c>
      <c r="I22" s="53">
        <f t="shared" si="12"/>
        <v>-39.424969481029478</v>
      </c>
      <c r="J22" s="53">
        <f t="shared" si="12"/>
        <v>-48.450920331656896</v>
      </c>
      <c r="K22" s="54">
        <f t="shared" si="12"/>
        <v>-64.265864472670884</v>
      </c>
    </row>
    <row r="23" spans="1:11" ht="14.25" customHeight="1" x14ac:dyDescent="0.3">
      <c r="A23" s="47" t="s">
        <v>128</v>
      </c>
      <c r="B23" s="56">
        <f t="shared" ref="B23:F23" si="13">B22/B7</f>
        <v>-6.3288808434876984E-2</v>
      </c>
      <c r="C23" s="56">
        <f t="shared" si="13"/>
        <v>-3.3635815963199936E-2</v>
      </c>
      <c r="D23" s="56">
        <f t="shared" si="13"/>
        <v>-1.8322295650494237E-2</v>
      </c>
      <c r="E23" s="56">
        <f t="shared" si="13"/>
        <v>-1.1876717900145849E-2</v>
      </c>
      <c r="F23" s="56">
        <f t="shared" si="13"/>
        <v>-1.2321357728344506E-2</v>
      </c>
      <c r="G23" s="56">
        <f t="shared" ref="G23:K23" si="14">AVERAGE(B23:F23)</f>
        <v>-2.7888999135412301E-2</v>
      </c>
      <c r="H23" s="56">
        <f t="shared" si="14"/>
        <v>-2.0809037275519367E-2</v>
      </c>
      <c r="I23" s="56">
        <f t="shared" si="14"/>
        <v>-1.8243681537983253E-2</v>
      </c>
      <c r="J23" s="56">
        <f t="shared" si="14"/>
        <v>-1.8227958715481059E-2</v>
      </c>
      <c r="K23" s="56">
        <f t="shared" si="14"/>
        <v>-1.9498206878548096E-2</v>
      </c>
    </row>
    <row r="24" spans="1:11" ht="14.25" customHeight="1" x14ac:dyDescent="0.3">
      <c r="A24" s="47"/>
      <c r="B24" s="57"/>
      <c r="C24" s="57"/>
      <c r="D24" s="57"/>
      <c r="E24" s="57"/>
      <c r="F24" s="57"/>
      <c r="G24" s="1"/>
      <c r="H24" s="1"/>
      <c r="I24" s="1"/>
      <c r="J24" s="1"/>
      <c r="K24" s="1"/>
    </row>
    <row r="25" spans="1:11" ht="14.25" customHeight="1" x14ac:dyDescent="0.3">
      <c r="A25" s="51" t="s">
        <v>134</v>
      </c>
      <c r="B25" s="52">
        <v>69.469200000000001</v>
      </c>
      <c r="C25" s="52">
        <v>95.694500000000005</v>
      </c>
      <c r="D25" s="52">
        <v>110.27850000000001</v>
      </c>
      <c r="E25" s="52">
        <v>123.0467</v>
      </c>
      <c r="F25" s="52">
        <v>138.93360000000001</v>
      </c>
      <c r="G25" s="53">
        <f t="shared" ref="G25:K25" si="15">G26*G7</f>
        <v>176.51445113161964</v>
      </c>
      <c r="H25" s="53">
        <f t="shared" si="15"/>
        <v>215.34763038057594</v>
      </c>
      <c r="I25" s="53">
        <f t="shared" si="15"/>
        <v>264.87758536810838</v>
      </c>
      <c r="J25" s="53">
        <f t="shared" si="15"/>
        <v>325.79943000277331</v>
      </c>
      <c r="K25" s="54">
        <f t="shared" si="15"/>
        <v>403.99129320343889</v>
      </c>
    </row>
    <row r="26" spans="1:11" ht="14.25" customHeight="1" x14ac:dyDescent="0.3">
      <c r="A26" s="47" t="s">
        <v>128</v>
      </c>
      <c r="B26" s="56">
        <f t="shared" ref="B26:F26" si="16">B25/B7</f>
        <v>0.1126022622503984</v>
      </c>
      <c r="C26" s="56">
        <f t="shared" si="16"/>
        <v>0.13422640400542266</v>
      </c>
      <c r="D26" s="56">
        <f t="shared" si="16"/>
        <v>0.12925763055866357</v>
      </c>
      <c r="E26" s="56">
        <f t="shared" si="16"/>
        <v>0.120997105825009</v>
      </c>
      <c r="F26" s="56">
        <f t="shared" si="16"/>
        <v>0.11576961635028264</v>
      </c>
      <c r="G26" s="56">
        <f t="shared" ref="G26:K26" si="17">AVERAGE($B$26:$F$26)</f>
        <v>0.12257060379795526</v>
      </c>
      <c r="H26" s="56">
        <f t="shared" si="17"/>
        <v>0.12257060379795526</v>
      </c>
      <c r="I26" s="56">
        <f t="shared" si="17"/>
        <v>0.12257060379795526</v>
      </c>
      <c r="J26" s="56">
        <f t="shared" si="17"/>
        <v>0.12257060379795526</v>
      </c>
      <c r="K26" s="56">
        <f t="shared" si="17"/>
        <v>0.12257060379795526</v>
      </c>
    </row>
    <row r="27" spans="1:11" ht="14.25" customHeight="1" x14ac:dyDescent="0.3">
      <c r="A27" s="47"/>
      <c r="B27" s="57"/>
      <c r="C27" s="57"/>
      <c r="D27" s="57"/>
      <c r="E27" s="57"/>
      <c r="F27" s="57"/>
      <c r="G27" s="1"/>
      <c r="H27" s="1"/>
      <c r="I27" s="1"/>
      <c r="J27" s="1"/>
      <c r="K27" s="1"/>
    </row>
    <row r="28" spans="1:11" ht="14.25" customHeight="1" x14ac:dyDescent="0.3">
      <c r="A28" s="51" t="s">
        <v>135</v>
      </c>
      <c r="B28" s="63">
        <v>0.6653</v>
      </c>
      <c r="C28" s="63">
        <v>5.4836</v>
      </c>
      <c r="D28" s="63">
        <v>4.5103</v>
      </c>
      <c r="E28" s="52">
        <v>2.5518999999999998</v>
      </c>
      <c r="F28" s="63">
        <v>0.52929999999999999</v>
      </c>
      <c r="G28" s="63">
        <v>0</v>
      </c>
      <c r="H28" s="63">
        <v>0</v>
      </c>
      <c r="I28" s="63">
        <v>0</v>
      </c>
      <c r="J28" s="63">
        <v>0</v>
      </c>
      <c r="K28" s="64">
        <v>0</v>
      </c>
    </row>
    <row r="29" spans="1:11" ht="14.25" customHeight="1" x14ac:dyDescent="0.3">
      <c r="A29" s="47"/>
      <c r="B29" s="58"/>
      <c r="C29" s="58"/>
      <c r="D29" s="58"/>
      <c r="E29" s="58"/>
      <c r="F29" s="58"/>
      <c r="G29" s="1"/>
      <c r="H29" s="1"/>
      <c r="I29" s="1"/>
      <c r="J29" s="1"/>
      <c r="K29" s="1"/>
    </row>
    <row r="30" spans="1:11" ht="14.25" customHeight="1" x14ac:dyDescent="0.3">
      <c r="A30" s="51" t="s">
        <v>136</v>
      </c>
      <c r="B30" s="52">
        <v>27.522800000000004</v>
      </c>
      <c r="C30" s="52">
        <v>50.050800000000002</v>
      </c>
      <c r="D30" s="52">
        <v>54.032399999999996</v>
      </c>
      <c r="E30" s="52">
        <v>53.591499999999996</v>
      </c>
      <c r="F30" s="52">
        <v>54.373500000000007</v>
      </c>
      <c r="G30" s="53">
        <f>G31*'Working capital and Capex'!G20</f>
        <v>78.87244209526699</v>
      </c>
      <c r="H30" s="53">
        <f>H31*'Working capital and Capex'!H20</f>
        <v>96.224379356225725</v>
      </c>
      <c r="I30" s="53">
        <f>I31*'Working capital and Capex'!I20</f>
        <v>118.35598660815764</v>
      </c>
      <c r="J30" s="53">
        <f>J31*'Working capital and Capex'!J20</f>
        <v>145.57786352803387</v>
      </c>
      <c r="K30" s="54">
        <f>K31*'Working capital and Capex'!K20</f>
        <v>180.51655077476201</v>
      </c>
    </row>
    <row r="31" spans="1:11" ht="14.25" customHeight="1" x14ac:dyDescent="0.3">
      <c r="A31" s="47" t="s">
        <v>137</v>
      </c>
      <c r="B31" s="56">
        <f>B30/'Working capital and Capex'!B20</f>
        <v>4.0707107548418345E-2</v>
      </c>
      <c r="C31" s="56">
        <f>C30/'Working capital and Capex'!C20</f>
        <v>7.1170656828541179E-2</v>
      </c>
      <c r="D31" s="56">
        <f>D30/'Working capital and Capex'!D20</f>
        <v>6.5597772761343251E-2</v>
      </c>
      <c r="E31" s="56">
        <f>E30/'Working capital and Capex'!E20</f>
        <v>6.5890429704477574E-2</v>
      </c>
      <c r="F31" s="56">
        <f>F30/'Working capital and Capex'!F20</f>
        <v>6.0029808727332955E-2</v>
      </c>
      <c r="G31" s="56">
        <f t="shared" ref="G31:K31" si="18">AVERAGE($B$31:$F$31)</f>
        <v>6.0679155114022651E-2</v>
      </c>
      <c r="H31" s="56">
        <f t="shared" si="18"/>
        <v>6.0679155114022651E-2</v>
      </c>
      <c r="I31" s="56">
        <f t="shared" si="18"/>
        <v>6.0679155114022651E-2</v>
      </c>
      <c r="J31" s="56">
        <f t="shared" si="18"/>
        <v>6.0679155114022651E-2</v>
      </c>
      <c r="K31" s="56">
        <f t="shared" si="18"/>
        <v>6.0679155114022651E-2</v>
      </c>
    </row>
    <row r="32" spans="1:11" ht="14.25" customHeight="1" x14ac:dyDescent="0.3">
      <c r="A32" s="47"/>
      <c r="B32" s="57"/>
      <c r="C32" s="57"/>
      <c r="D32" s="57"/>
      <c r="E32" s="57"/>
      <c r="F32" s="57"/>
      <c r="G32" s="1"/>
      <c r="H32" s="1"/>
      <c r="I32" s="1"/>
      <c r="J32" s="1"/>
      <c r="K32" s="1"/>
    </row>
    <row r="33" spans="1:11" ht="14.25" customHeight="1" x14ac:dyDescent="0.3">
      <c r="A33" s="51" t="s">
        <v>138</v>
      </c>
      <c r="B33" s="52">
        <v>108.3565</v>
      </c>
      <c r="C33" s="52">
        <v>179.95330000000001</v>
      </c>
      <c r="D33" s="52">
        <v>219.39400000000001</v>
      </c>
      <c r="E33" s="52">
        <v>233.13299999999998</v>
      </c>
      <c r="F33" s="52">
        <v>249.30869999999999</v>
      </c>
      <c r="G33" s="53">
        <f t="shared" ref="G33:K33" si="19">G34*G7</f>
        <v>323.21439840891594</v>
      </c>
      <c r="H33" s="53">
        <f t="shared" si="19"/>
        <v>394.32156605887741</v>
      </c>
      <c r="I33" s="53">
        <f t="shared" si="19"/>
        <v>485.01552625241919</v>
      </c>
      <c r="J33" s="53">
        <f t="shared" si="19"/>
        <v>596.56909729047561</v>
      </c>
      <c r="K33" s="54">
        <f t="shared" si="19"/>
        <v>739.74568064018968</v>
      </c>
    </row>
    <row r="34" spans="1:11" ht="14.25" customHeight="1" x14ac:dyDescent="0.3">
      <c r="A34" s="47" t="s">
        <v>128</v>
      </c>
      <c r="B34" s="56">
        <f t="shared" ref="B34:F34" si="20">B33/B7</f>
        <v>0.17563448304479243</v>
      </c>
      <c r="C34" s="56">
        <f t="shared" si="20"/>
        <v>0.25241246203187251</v>
      </c>
      <c r="D34" s="56">
        <f t="shared" si="20"/>
        <v>0.25715210670064825</v>
      </c>
      <c r="E34" s="56">
        <f t="shared" si="20"/>
        <v>0.22924969359033459</v>
      </c>
      <c r="F34" s="56">
        <f t="shared" si="20"/>
        <v>0.20774220600191534</v>
      </c>
      <c r="G34" s="56">
        <f t="shared" ref="G34:K34" si="21">AVERAGE($B$34:$F$34)</f>
        <v>0.22443819027391262</v>
      </c>
      <c r="H34" s="56">
        <f t="shared" si="21"/>
        <v>0.22443819027391262</v>
      </c>
      <c r="I34" s="56">
        <f t="shared" si="21"/>
        <v>0.22443819027391262</v>
      </c>
      <c r="J34" s="56">
        <f t="shared" si="21"/>
        <v>0.22443819027391262</v>
      </c>
      <c r="K34" s="56">
        <f t="shared" si="21"/>
        <v>0.22443819027391262</v>
      </c>
    </row>
    <row r="35" spans="1:11" ht="14.25" customHeight="1" x14ac:dyDescent="0.3">
      <c r="A35" s="59" t="s">
        <v>139</v>
      </c>
      <c r="B35" s="60">
        <f t="shared" ref="B35:K35" si="22">SUM(B16,B19,B22,B25,B28,B30,B33)</f>
        <v>317.58209999999997</v>
      </c>
      <c r="C35" s="60">
        <f t="shared" si="22"/>
        <v>495.19290000000001</v>
      </c>
      <c r="D35" s="60">
        <f t="shared" si="22"/>
        <v>568.42340000000002</v>
      </c>
      <c r="E35" s="60">
        <f t="shared" si="22"/>
        <v>641.52119999999991</v>
      </c>
      <c r="F35" s="60">
        <f t="shared" si="22"/>
        <v>748.65820000000008</v>
      </c>
      <c r="G35" s="65">
        <f t="shared" si="22"/>
        <v>896.02028446901409</v>
      </c>
      <c r="H35" s="65">
        <f t="shared" si="22"/>
        <v>1107.0502714055281</v>
      </c>
      <c r="I35" s="65">
        <f t="shared" si="22"/>
        <v>1360.9276173796209</v>
      </c>
      <c r="J35" s="65">
        <f t="shared" si="22"/>
        <v>1682.8517473136239</v>
      </c>
      <c r="K35" s="66">
        <f t="shared" si="22"/>
        <v>2090.6624977509973</v>
      </c>
    </row>
    <row r="36" spans="1:11" ht="14.25" customHeight="1" x14ac:dyDescent="0.3">
      <c r="A36" s="67" t="s">
        <v>140</v>
      </c>
      <c r="B36" s="57">
        <f t="shared" ref="B36:K36" si="23">B13-B35</f>
        <v>313.16810000000009</v>
      </c>
      <c r="C36" s="57">
        <f t="shared" si="23"/>
        <v>241.15710000000013</v>
      </c>
      <c r="D36" s="57">
        <f t="shared" si="23"/>
        <v>320.05410000000006</v>
      </c>
      <c r="E36" s="57">
        <f t="shared" si="23"/>
        <v>409.19800000000009</v>
      </c>
      <c r="F36" s="57">
        <f t="shared" si="23"/>
        <v>495.8753999999999</v>
      </c>
      <c r="G36" s="57">
        <f t="shared" si="23"/>
        <v>592.14448848160555</v>
      </c>
      <c r="H36" s="57">
        <f t="shared" si="23"/>
        <v>708.51075159422771</v>
      </c>
      <c r="I36" s="57">
        <f t="shared" si="23"/>
        <v>872.21244091007861</v>
      </c>
      <c r="J36" s="57">
        <f t="shared" si="23"/>
        <v>1063.9105243827062</v>
      </c>
      <c r="K36" s="68">
        <f t="shared" si="23"/>
        <v>1315.322719152452</v>
      </c>
    </row>
    <row r="37" spans="1:11" ht="14.25" customHeight="1" x14ac:dyDescent="0.3">
      <c r="A37" s="51" t="s">
        <v>141</v>
      </c>
      <c r="B37" s="52">
        <v>77.833299999999994</v>
      </c>
      <c r="C37" s="52">
        <v>62.589300000000001</v>
      </c>
      <c r="D37" s="52">
        <v>81.927700000000002</v>
      </c>
      <c r="E37" s="52">
        <v>104.4618</v>
      </c>
      <c r="F37" s="52">
        <v>122.911</v>
      </c>
      <c r="G37" s="53">
        <f t="shared" ref="G37:K37" si="24">G38*G36</f>
        <v>150.07361945655185</v>
      </c>
      <c r="H37" s="53">
        <f t="shared" si="24"/>
        <v>179.56558742660775</v>
      </c>
      <c r="I37" s="53">
        <f t="shared" si="24"/>
        <v>221.05428740552321</v>
      </c>
      <c r="J37" s="53">
        <f t="shared" si="24"/>
        <v>269.63841811894298</v>
      </c>
      <c r="K37" s="54">
        <f t="shared" si="24"/>
        <v>333.35654566811701</v>
      </c>
    </row>
    <row r="38" spans="1:11" ht="14.25" customHeight="1" x14ac:dyDescent="0.3">
      <c r="A38" s="47" t="s">
        <v>142</v>
      </c>
      <c r="B38" s="56">
        <f t="shared" ref="B38:F38" si="25">B37/B36</f>
        <v>0.24853521160041514</v>
      </c>
      <c r="C38" s="56">
        <f t="shared" si="25"/>
        <v>0.25953745504486481</v>
      </c>
      <c r="D38" s="56">
        <f t="shared" si="25"/>
        <v>0.25598078574840938</v>
      </c>
      <c r="E38" s="56">
        <f t="shared" si="25"/>
        <v>0.25528423892589891</v>
      </c>
      <c r="F38" s="56">
        <f t="shared" si="25"/>
        <v>0.24786670199812297</v>
      </c>
      <c r="G38" s="56">
        <f t="shared" ref="G38:K38" si="26">AVERAGE($B$38:$F$38)</f>
        <v>0.2534408786635422</v>
      </c>
      <c r="H38" s="56">
        <f t="shared" si="26"/>
        <v>0.2534408786635422</v>
      </c>
      <c r="I38" s="56">
        <f t="shared" si="26"/>
        <v>0.2534408786635422</v>
      </c>
      <c r="J38" s="56">
        <f t="shared" si="26"/>
        <v>0.2534408786635422</v>
      </c>
      <c r="K38" s="56">
        <f t="shared" si="26"/>
        <v>0.2534408786635422</v>
      </c>
    </row>
    <row r="39" spans="1:11" ht="14.25" customHeight="1" x14ac:dyDescent="0.3">
      <c r="A39" s="59" t="s">
        <v>143</v>
      </c>
      <c r="B39" s="60">
        <f t="shared" ref="B39:K39" si="27">B36-B37</f>
        <v>235.33480000000009</v>
      </c>
      <c r="C39" s="60">
        <f t="shared" si="27"/>
        <v>178.56780000000012</v>
      </c>
      <c r="D39" s="60">
        <f t="shared" si="27"/>
        <v>238.12640000000005</v>
      </c>
      <c r="E39" s="60">
        <f t="shared" si="27"/>
        <v>304.73620000000011</v>
      </c>
      <c r="F39" s="60">
        <f t="shared" si="27"/>
        <v>372.9643999999999</v>
      </c>
      <c r="G39" s="65">
        <f t="shared" si="27"/>
        <v>442.0708690250537</v>
      </c>
      <c r="H39" s="65">
        <f t="shared" si="27"/>
        <v>528.94516416761996</v>
      </c>
      <c r="I39" s="65">
        <f t="shared" si="27"/>
        <v>651.15815350455546</v>
      </c>
      <c r="J39" s="65">
        <f t="shared" si="27"/>
        <v>794.27210626376313</v>
      </c>
      <c r="K39" s="66">
        <f t="shared" si="27"/>
        <v>981.96617348433506</v>
      </c>
    </row>
    <row r="40" spans="1:11" ht="14.25" customHeight="1" x14ac:dyDescent="0.3"/>
    <row r="41" spans="1:11" ht="14.25" customHeight="1" x14ac:dyDescent="0.35">
      <c r="A41" s="238" t="s">
        <v>275</v>
      </c>
      <c r="B41" s="237">
        <f>B16+B19+B22</f>
        <v>111.56829999999997</v>
      </c>
      <c r="C41" s="237">
        <f t="shared" ref="C41:K41" si="28">C16+C19+C22</f>
        <v>164.01069999999999</v>
      </c>
      <c r="D41" s="237">
        <f t="shared" si="28"/>
        <v>180.20820000000001</v>
      </c>
      <c r="E41" s="237">
        <f t="shared" si="28"/>
        <v>229.19809999999998</v>
      </c>
      <c r="F41" s="237">
        <f t="shared" si="28"/>
        <v>305.51310000000001</v>
      </c>
      <c r="G41" s="237">
        <f t="shared" si="28"/>
        <v>317.41899283321158</v>
      </c>
      <c r="H41" s="237">
        <f t="shared" si="28"/>
        <v>401.1566956098489</v>
      </c>
      <c r="I41" s="237">
        <f t="shared" si="28"/>
        <v>492.67851915093559</v>
      </c>
      <c r="J41" s="237">
        <f t="shared" si="28"/>
        <v>614.90535649234118</v>
      </c>
      <c r="K41" s="237">
        <f t="shared" si="28"/>
        <v>766.40897313260666</v>
      </c>
    </row>
    <row r="42" spans="1:11" ht="14.25" customHeight="1" x14ac:dyDescent="0.3"/>
    <row r="43" spans="1:11" ht="14.25" customHeight="1" x14ac:dyDescent="0.3"/>
    <row r="44" spans="1:11" ht="14.25" customHeight="1" x14ac:dyDescent="0.3"/>
    <row r="45" spans="1:11" ht="14.25" customHeight="1" x14ac:dyDescent="0.3"/>
    <row r="46" spans="1:11" ht="14.25" customHeight="1" x14ac:dyDescent="0.3"/>
    <row r="47" spans="1:11" ht="14.25" customHeight="1" x14ac:dyDescent="0.3"/>
    <row r="48" spans="1:1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B3:F3"/>
    <mergeCell ref="G3:K3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000"/>
  <sheetViews>
    <sheetView workbookViewId="0">
      <selection activeCell="M8" sqref="M8"/>
    </sheetView>
  </sheetViews>
  <sheetFormatPr defaultColWidth="14.44140625" defaultRowHeight="15" customHeight="1" x14ac:dyDescent="0.3"/>
  <cols>
    <col min="1" max="1" width="26.109375" customWidth="1"/>
    <col min="2" max="2" width="11.44140625" customWidth="1"/>
    <col min="3" max="3" width="11.6640625" customWidth="1"/>
    <col min="4" max="4" width="15.33203125" customWidth="1"/>
    <col min="5" max="5" width="12.44140625" customWidth="1"/>
    <col min="6" max="6" width="15.33203125" customWidth="1"/>
    <col min="7" max="8" width="13.6640625" customWidth="1"/>
    <col min="9" max="10" width="15.33203125" customWidth="1"/>
    <col min="11" max="11" width="13.6640625" customWidth="1"/>
    <col min="12" max="26" width="8.6640625" customWidth="1"/>
  </cols>
  <sheetData>
    <row r="1" spans="1:18" ht="14.25" customHeight="1" x14ac:dyDescent="0.35">
      <c r="A1" s="244" t="s">
        <v>144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69"/>
      <c r="M1" s="70"/>
      <c r="N1" s="70"/>
      <c r="O1" s="70"/>
      <c r="P1" s="70"/>
      <c r="Q1" s="70"/>
      <c r="R1" s="71"/>
    </row>
    <row r="2" spans="1:18" ht="14.25" customHeight="1" x14ac:dyDescent="0.3">
      <c r="A2" s="72"/>
      <c r="B2" s="246" t="s">
        <v>122</v>
      </c>
      <c r="C2" s="242"/>
      <c r="D2" s="242"/>
      <c r="E2" s="242"/>
      <c r="F2" s="242"/>
      <c r="G2" s="247" t="s">
        <v>123</v>
      </c>
      <c r="H2" s="242"/>
      <c r="I2" s="242"/>
      <c r="J2" s="242"/>
      <c r="K2" s="242"/>
      <c r="L2" s="73"/>
      <c r="M2" s="74"/>
      <c r="N2" s="74"/>
      <c r="O2" s="74"/>
      <c r="P2" s="74"/>
      <c r="Q2" s="74"/>
      <c r="R2" s="75"/>
    </row>
    <row r="3" spans="1:18" ht="14.25" customHeight="1" x14ac:dyDescent="0.3">
      <c r="A3" s="76" t="s">
        <v>145</v>
      </c>
      <c r="B3" s="39">
        <f>Balancesheet!B3</f>
        <v>44256</v>
      </c>
      <c r="C3" s="39">
        <f>Balancesheet!C3</f>
        <v>44621</v>
      </c>
      <c r="D3" s="39">
        <f>Balancesheet!D3</f>
        <v>44986</v>
      </c>
      <c r="E3" s="39">
        <f>Balancesheet!E3</f>
        <v>45352</v>
      </c>
      <c r="F3" s="39">
        <f>Balancesheet!F3</f>
        <v>45717</v>
      </c>
      <c r="G3" s="49">
        <v>46082</v>
      </c>
      <c r="H3" s="49">
        <v>46447</v>
      </c>
      <c r="I3" s="49">
        <v>46813</v>
      </c>
      <c r="J3" s="49">
        <v>47178</v>
      </c>
      <c r="K3" s="49">
        <v>47543</v>
      </c>
    </row>
    <row r="4" spans="1:18" ht="14.25" customHeight="1" x14ac:dyDescent="0.3">
      <c r="A4" s="77" t="s">
        <v>146</v>
      </c>
      <c r="B4" s="26">
        <f>Balancesheet!B19</f>
        <v>153.6061</v>
      </c>
      <c r="C4" s="26">
        <f>Balancesheet!C19</f>
        <v>195.11790000000002</v>
      </c>
      <c r="D4" s="26">
        <f>Balancesheet!D19</f>
        <v>212.31470000000002</v>
      </c>
      <c r="E4" s="26">
        <f>Balancesheet!E19</f>
        <v>207.9538</v>
      </c>
      <c r="F4" s="26">
        <f>Balancesheet!F19</f>
        <v>239.66720000000001</v>
      </c>
      <c r="G4" s="78">
        <f>G11*'Profit and Loss forecast'!G41/365</f>
        <v>232.5324298548818</v>
      </c>
      <c r="H4" s="78">
        <f>H11*'Profit and Loss forecast'!H41/365</f>
        <v>293.87636936939225</v>
      </c>
      <c r="I4" s="78">
        <f>I11*'Profit and Loss forecast'!I41/365</f>
        <v>360.92274180855242</v>
      </c>
      <c r="J4" s="78">
        <f>J11*'Profit and Loss forecast'!J41/365</f>
        <v>450.46276342726094</v>
      </c>
      <c r="K4" s="78">
        <f>K11*'Profit and Loss forecast'!K41/365</f>
        <v>561.45014888492585</v>
      </c>
    </row>
    <row r="5" spans="1:18" ht="14.25" customHeight="1" x14ac:dyDescent="0.3">
      <c r="A5" s="77" t="s">
        <v>147</v>
      </c>
      <c r="B5" s="26">
        <f>Balancesheet!B22</f>
        <v>177.51689999999999</v>
      </c>
      <c r="C5" s="26">
        <f>Balancesheet!C22</f>
        <v>232.17419999999998</v>
      </c>
      <c r="D5" s="26">
        <f>Balancesheet!D22</f>
        <v>273.75759999999997</v>
      </c>
      <c r="E5" s="26">
        <f>Balancesheet!E22</f>
        <v>349.60890000000001</v>
      </c>
      <c r="F5" s="26">
        <f>Balancesheet!F22</f>
        <v>521.65150000000006</v>
      </c>
      <c r="G5" s="78">
        <f>G12*'Profit and Loss forecast'!G13/365</f>
        <v>450.01425151677552</v>
      </c>
      <c r="H5" s="78">
        <f>H12*'Profit and Loss forecast'!H13/365</f>
        <v>549.0173868504661</v>
      </c>
      <c r="I5" s="78">
        <f>I12*'Profit and Loss forecast'!I13/365</f>
        <v>675.29138582607322</v>
      </c>
      <c r="J5" s="78">
        <f>J12*'Profit and Loss forecast'!J13/365</f>
        <v>830.60840456606991</v>
      </c>
      <c r="K5" s="78">
        <f>K12*'Profit and Loss forecast'!K13/365</f>
        <v>1029.9544216619267</v>
      </c>
    </row>
    <row r="6" spans="1:18" ht="14.25" customHeight="1" x14ac:dyDescent="0.3">
      <c r="A6" s="77" t="s">
        <v>148</v>
      </c>
      <c r="B6" s="27">
        <f>Balancesheet!B46</f>
        <v>46.397200000000005</v>
      </c>
      <c r="C6" s="27">
        <f>Balancesheet!C46</f>
        <v>83.105599999999995</v>
      </c>
      <c r="D6" s="27">
        <f>Balancesheet!D46</f>
        <v>93.8</v>
      </c>
      <c r="E6" s="27">
        <f>Balancesheet!E46</f>
        <v>94.435300000000012</v>
      </c>
      <c r="F6" s="27">
        <f>Balancesheet!F46</f>
        <v>113.0398</v>
      </c>
      <c r="G6" s="41">
        <f>'Profit and Loss forecast'!G41*'Working capital and Capex'!G13/365</f>
        <v>107.78021839320451</v>
      </c>
      <c r="H6" s="41">
        <f>'Profit and Loss forecast'!H41*'Working capital and Capex'!H13/365</f>
        <v>136.21351349143941</v>
      </c>
      <c r="I6" s="41">
        <f>'Profit and Loss forecast'!I41*'Working capital and Capex'!I13/365</f>
        <v>167.2899214938611</v>
      </c>
      <c r="J6" s="41">
        <f>'Profit and Loss forecast'!J41*'Working capital and Capex'!J13/365</f>
        <v>208.79227491191725</v>
      </c>
      <c r="K6" s="41">
        <f>'Profit and Loss forecast'!K41*'Working capital and Capex'!K13/365</f>
        <v>260.23561402372741</v>
      </c>
    </row>
    <row r="7" spans="1:18" ht="14.25" customHeight="1" x14ac:dyDescent="0.3">
      <c r="A7" s="79" t="s">
        <v>144</v>
      </c>
      <c r="B7" s="26">
        <f t="shared" ref="B7:K7" si="0">B4+B5-B6</f>
        <v>284.72579999999999</v>
      </c>
      <c r="C7" s="26">
        <f t="shared" si="0"/>
        <v>344.18650000000002</v>
      </c>
      <c r="D7" s="26">
        <f t="shared" si="0"/>
        <v>392.27229999999997</v>
      </c>
      <c r="E7" s="26">
        <f t="shared" si="0"/>
        <v>463.12739999999997</v>
      </c>
      <c r="F7" s="26">
        <f t="shared" si="0"/>
        <v>648.27890000000002</v>
      </c>
      <c r="G7" s="26">
        <f t="shared" si="0"/>
        <v>574.76646297845286</v>
      </c>
      <c r="H7" s="26">
        <f t="shared" si="0"/>
        <v>706.68024272841899</v>
      </c>
      <c r="I7" s="26">
        <f t="shared" si="0"/>
        <v>868.92420614076445</v>
      </c>
      <c r="J7" s="26">
        <f t="shared" si="0"/>
        <v>1072.2788930814136</v>
      </c>
      <c r="K7" s="26">
        <f t="shared" si="0"/>
        <v>1331.168956523125</v>
      </c>
    </row>
    <row r="8" spans="1:18" ht="14.25" customHeight="1" x14ac:dyDescent="0.3">
      <c r="A8" s="80" t="s">
        <v>149</v>
      </c>
      <c r="B8" s="81"/>
      <c r="C8" s="82">
        <f t="shared" ref="C8:K8" si="1">C7-B7</f>
        <v>59.460700000000031</v>
      </c>
      <c r="D8" s="82">
        <f t="shared" si="1"/>
        <v>48.085799999999949</v>
      </c>
      <c r="E8" s="82">
        <f t="shared" si="1"/>
        <v>70.855099999999993</v>
      </c>
      <c r="F8" s="82">
        <f t="shared" si="1"/>
        <v>185.15150000000006</v>
      </c>
      <c r="G8" s="82">
        <f t="shared" si="1"/>
        <v>-73.512437021547157</v>
      </c>
      <c r="H8" s="82">
        <f t="shared" si="1"/>
        <v>131.91377974996612</v>
      </c>
      <c r="I8" s="82">
        <f t="shared" si="1"/>
        <v>162.24396341234547</v>
      </c>
      <c r="J8" s="82">
        <f t="shared" si="1"/>
        <v>203.35468694064912</v>
      </c>
      <c r="K8" s="83">
        <f t="shared" si="1"/>
        <v>258.89006344171139</v>
      </c>
    </row>
    <row r="9" spans="1:18" ht="14.25" customHeight="1" x14ac:dyDescent="0.3">
      <c r="A9" s="84"/>
    </row>
    <row r="10" spans="1:18" ht="14.25" customHeight="1" x14ac:dyDescent="0.3">
      <c r="A10" s="85" t="s">
        <v>150</v>
      </c>
    </row>
    <row r="11" spans="1:18" ht="14.25" customHeight="1" x14ac:dyDescent="0.3">
      <c r="A11" s="86" t="s">
        <v>151</v>
      </c>
      <c r="B11" s="8"/>
      <c r="C11" s="87">
        <f>365*AVERAGE(B4,C4)/'Profit and Loss forecast'!C41</f>
        <v>388.03645128031292</v>
      </c>
      <c r="D11" s="87">
        <f>365*AVERAGE(C4,D4)/'Profit and Loss forecast'!D41</f>
        <v>412.61412910178336</v>
      </c>
      <c r="E11" s="87">
        <f>365*AVERAGE(D4,E4)/'Profit and Loss forecast'!E41</f>
        <v>334.64065038060966</v>
      </c>
      <c r="F11" s="87">
        <f>365*AVERAGE(E4,F4)/'Profit and Loss forecast'!F41</f>
        <v>267.38896793623576</v>
      </c>
      <c r="G11" s="87">
        <f>$F$11</f>
        <v>267.38896793623576</v>
      </c>
      <c r="H11" s="87">
        <f t="shared" ref="H11:K11" si="2">$F$11</f>
        <v>267.38896793623576</v>
      </c>
      <c r="I11" s="87">
        <f t="shared" si="2"/>
        <v>267.38896793623576</v>
      </c>
      <c r="J11" s="87">
        <f t="shared" si="2"/>
        <v>267.38896793623576</v>
      </c>
      <c r="K11" s="87">
        <f t="shared" si="2"/>
        <v>267.38896793623576</v>
      </c>
    </row>
    <row r="12" spans="1:18" ht="14.25" customHeight="1" x14ac:dyDescent="0.3">
      <c r="A12" s="86" t="s">
        <v>152</v>
      </c>
      <c r="B12" s="8"/>
      <c r="C12" s="87">
        <f>365*AVERAGE(B5,C5)/'Profit and Loss forecast'!C13</f>
        <v>101.53952026889385</v>
      </c>
      <c r="D12" s="87">
        <f>365*AVERAGE(C5,D5)/'Profit and Loss forecast'!D13</f>
        <v>103.92221918956865</v>
      </c>
      <c r="E12" s="87">
        <f>365*AVERAGE(D5,E5)/'Profit and Loss forecast'!E13</f>
        <v>108.27287276181876</v>
      </c>
      <c r="F12" s="87">
        <f>365*AVERAGE(E5,F5)/'Profit and Loss forecast'!F13</f>
        <v>127.76274019439894</v>
      </c>
      <c r="G12" s="87">
        <f t="shared" ref="G12:K12" si="3">AVERAGE($C$12:$F$12)</f>
        <v>110.37433810367004</v>
      </c>
      <c r="H12" s="87">
        <f t="shared" si="3"/>
        <v>110.37433810367004</v>
      </c>
      <c r="I12" s="87">
        <f t="shared" si="3"/>
        <v>110.37433810367004</v>
      </c>
      <c r="J12" s="87">
        <f t="shared" si="3"/>
        <v>110.37433810367004</v>
      </c>
      <c r="K12" s="87">
        <f t="shared" si="3"/>
        <v>110.37433810367004</v>
      </c>
    </row>
    <row r="13" spans="1:18" ht="14.25" customHeight="1" x14ac:dyDescent="0.3">
      <c r="A13" s="86" t="s">
        <v>153</v>
      </c>
      <c r="B13" s="8"/>
      <c r="C13" s="87">
        <f>365*AVERAGE('Working capital and Capex'!B6,'Working capital and Capex'!C6)/'Profit and Loss forecast'!C41</f>
        <v>144.10194578768338</v>
      </c>
      <c r="D13" s="87">
        <f>365*AVERAGE('Working capital and Capex'!C6,'Working capital and Capex'!D6)/'Profit and Loss forecast'!D41</f>
        <v>179.15539914387912</v>
      </c>
      <c r="E13" s="87">
        <f>365*AVERAGE('Working capital and Capex'!D6,'Working capital and Capex'!E6)/'Profit and Loss forecast'!E41</f>
        <v>149.8831894767016</v>
      </c>
      <c r="F13" s="87">
        <f>365*AVERAGE('Working capital and Capex'!E6,'Working capital and Capex'!F6)/'Profit and Loss forecast'!F41</f>
        <v>123.93643922306441</v>
      </c>
      <c r="G13" s="87">
        <f>$F$13</f>
        <v>123.93643922306441</v>
      </c>
      <c r="H13" s="87">
        <f t="shared" ref="H13:K13" si="4">$F$13</f>
        <v>123.93643922306441</v>
      </c>
      <c r="I13" s="87">
        <f t="shared" si="4"/>
        <v>123.93643922306441</v>
      </c>
      <c r="J13" s="87">
        <f t="shared" si="4"/>
        <v>123.93643922306441</v>
      </c>
      <c r="K13" s="87">
        <f t="shared" si="4"/>
        <v>123.93643922306441</v>
      </c>
    </row>
    <row r="14" spans="1:18" ht="14.25" customHeight="1" x14ac:dyDescent="0.3"/>
    <row r="15" spans="1:18" ht="14.25" customHeight="1" x14ac:dyDescent="0.3">
      <c r="A15" s="248" t="s">
        <v>154</v>
      </c>
      <c r="B15" s="249"/>
      <c r="C15" s="249"/>
      <c r="D15" s="249"/>
      <c r="E15" s="249"/>
      <c r="F15" s="249"/>
      <c r="G15" s="249"/>
      <c r="H15" s="249"/>
      <c r="I15" s="249"/>
      <c r="J15" s="249"/>
      <c r="K15" s="249"/>
      <c r="L15" s="88"/>
      <c r="M15" s="88"/>
      <c r="N15" s="88"/>
      <c r="O15" s="88"/>
      <c r="P15" s="88"/>
      <c r="Q15" s="88"/>
      <c r="R15" s="88"/>
    </row>
    <row r="16" spans="1:18" ht="14.25" customHeight="1" x14ac:dyDescent="0.3">
      <c r="A16" s="89"/>
      <c r="B16" s="246" t="s">
        <v>122</v>
      </c>
      <c r="C16" s="242"/>
      <c r="D16" s="242"/>
      <c r="E16" s="242"/>
      <c r="F16" s="242"/>
      <c r="G16" s="247" t="s">
        <v>123</v>
      </c>
      <c r="H16" s="242"/>
      <c r="I16" s="242"/>
      <c r="J16" s="242"/>
      <c r="K16" s="242"/>
      <c r="L16" s="90"/>
      <c r="M16" s="90"/>
      <c r="N16" s="90"/>
      <c r="O16" s="90"/>
      <c r="P16" s="90"/>
      <c r="Q16" s="90"/>
      <c r="R16" s="90"/>
    </row>
    <row r="17" spans="1:11" ht="14.25" customHeight="1" x14ac:dyDescent="0.3">
      <c r="A17" s="91" t="s">
        <v>145</v>
      </c>
      <c r="B17" s="39">
        <v>44256</v>
      </c>
      <c r="C17" s="39">
        <v>44621</v>
      </c>
      <c r="D17" s="39">
        <v>44986</v>
      </c>
      <c r="E17" s="39">
        <v>45352</v>
      </c>
      <c r="F17" s="39">
        <v>45717</v>
      </c>
      <c r="G17" s="49">
        <v>46082</v>
      </c>
      <c r="H17" s="49">
        <v>46447</v>
      </c>
      <c r="I17" s="49">
        <v>46813</v>
      </c>
      <c r="J17" s="49">
        <v>47178</v>
      </c>
      <c r="K17" s="49">
        <v>47543</v>
      </c>
    </row>
    <row r="18" spans="1:11" ht="14.25" customHeight="1" x14ac:dyDescent="0.3">
      <c r="A18" s="92" t="s">
        <v>155</v>
      </c>
      <c r="B18" s="26">
        <f>Balancesheet!B7</f>
        <v>537.64779999999996</v>
      </c>
      <c r="C18" s="26">
        <f>Balancesheet!C7</f>
        <v>568.03050000000007</v>
      </c>
      <c r="D18" s="26">
        <f>Balancesheet!D7</f>
        <v>592.52260000000001</v>
      </c>
      <c r="E18" s="26">
        <f>Balancesheet!E7</f>
        <v>571.73270000000002</v>
      </c>
      <c r="F18" s="26">
        <f>Balancesheet!F7</f>
        <v>791.80499999999995</v>
      </c>
      <c r="G18" s="26">
        <f t="shared" ref="G18:K18" si="5">F22</f>
        <v>851.40149999999994</v>
      </c>
      <c r="H18" s="26">
        <f t="shared" si="5"/>
        <v>1220.9551831750125</v>
      </c>
      <c r="I18" s="26">
        <f t="shared" si="5"/>
        <v>1489.565323473515</v>
      </c>
      <c r="J18" s="26">
        <f t="shared" si="5"/>
        <v>1832.1653478724236</v>
      </c>
      <c r="K18" s="26">
        <f t="shared" si="5"/>
        <v>2253.5633778830806</v>
      </c>
    </row>
    <row r="19" spans="1:11" ht="14.25" customHeight="1" x14ac:dyDescent="0.3">
      <c r="A19" s="93" t="s">
        <v>156</v>
      </c>
      <c r="B19" s="27">
        <f>'Cash Flow '!B9</f>
        <v>138.47</v>
      </c>
      <c r="C19" s="27">
        <f>'Cash Flow '!C9</f>
        <v>135.22</v>
      </c>
      <c r="D19" s="27">
        <f>'Cash Flow '!D9</f>
        <v>231.17</v>
      </c>
      <c r="E19" s="27">
        <f>'Cash Flow '!E9</f>
        <v>241.61</v>
      </c>
      <c r="F19" s="27">
        <f>'Cash Flow '!F9</f>
        <v>113.97</v>
      </c>
      <c r="G19" s="78">
        <f t="shared" ref="G19:K19" si="6">G20-G18</f>
        <v>448.4261252702795</v>
      </c>
      <c r="H19" s="78">
        <f t="shared" si="6"/>
        <v>364.83451965472818</v>
      </c>
      <c r="I19" s="78">
        <f t="shared" si="6"/>
        <v>460.95601100706608</v>
      </c>
      <c r="J19" s="78">
        <f t="shared" si="6"/>
        <v>566.97589353869103</v>
      </c>
      <c r="K19" s="78">
        <f t="shared" si="6"/>
        <v>721.37176146670117</v>
      </c>
    </row>
    <row r="20" spans="1:11" ht="14.25" customHeight="1" x14ac:dyDescent="0.3">
      <c r="A20" s="94" t="s">
        <v>157</v>
      </c>
      <c r="B20" s="82">
        <f t="shared" ref="B20:F20" si="7">SUM(B18:B19)</f>
        <v>676.11779999999999</v>
      </c>
      <c r="C20" s="82">
        <f t="shared" si="7"/>
        <v>703.2505000000001</v>
      </c>
      <c r="D20" s="82">
        <f t="shared" si="7"/>
        <v>823.69259999999997</v>
      </c>
      <c r="E20" s="82">
        <f t="shared" si="7"/>
        <v>813.34270000000004</v>
      </c>
      <c r="F20" s="82">
        <f t="shared" si="7"/>
        <v>905.77499999999998</v>
      </c>
      <c r="G20" s="95">
        <f>'Profit and Loss forecast'!G13/'Working capital and Capex'!G24</f>
        <v>1299.8276252702794</v>
      </c>
      <c r="H20" s="95">
        <f>'Profit and Loss forecast'!H13/'Working capital and Capex'!H24</f>
        <v>1585.7897028297407</v>
      </c>
      <c r="I20" s="95">
        <f>'Profit and Loss forecast'!I13/'Working capital and Capex'!I24</f>
        <v>1950.5213344805811</v>
      </c>
      <c r="J20" s="95">
        <f>'Profit and Loss forecast'!J13/'Working capital and Capex'!J24</f>
        <v>2399.1412414111146</v>
      </c>
      <c r="K20" s="96">
        <f>'Profit and Loss forecast'!K13/'Working capital and Capex'!K24</f>
        <v>2974.9351393497818</v>
      </c>
    </row>
    <row r="21" spans="1:11" ht="14.25" customHeight="1" x14ac:dyDescent="0.3">
      <c r="A21" s="97" t="s">
        <v>158</v>
      </c>
      <c r="B21" s="26">
        <f>'Profit and Loss forecast'!B30</f>
        <v>27.522800000000004</v>
      </c>
      <c r="C21" s="26">
        <f>'Profit and Loss forecast'!C30</f>
        <v>50.050800000000002</v>
      </c>
      <c r="D21" s="26">
        <f>'Profit and Loss forecast'!D30</f>
        <v>54.032399999999996</v>
      </c>
      <c r="E21" s="26">
        <f>'Profit and Loss forecast'!E30</f>
        <v>53.591499999999996</v>
      </c>
      <c r="F21" s="26">
        <f>'Profit and Loss forecast'!F30</f>
        <v>54.373500000000007</v>
      </c>
      <c r="G21" s="41">
        <f t="shared" ref="G21:K21" si="8">G26*G20</f>
        <v>78.87244209526699</v>
      </c>
      <c r="H21" s="41">
        <f t="shared" si="8"/>
        <v>96.224379356225725</v>
      </c>
      <c r="I21" s="41">
        <f t="shared" si="8"/>
        <v>118.35598660815764</v>
      </c>
      <c r="J21" s="41">
        <f t="shared" si="8"/>
        <v>145.57786352803387</v>
      </c>
      <c r="K21" s="41">
        <f t="shared" si="8"/>
        <v>180.51655077476201</v>
      </c>
    </row>
    <row r="22" spans="1:11" ht="14.25" customHeight="1" x14ac:dyDescent="0.3">
      <c r="A22" s="98" t="s">
        <v>159</v>
      </c>
      <c r="B22" s="99">
        <f t="shared" ref="B22:K22" si="9">B20-B21</f>
        <v>648.59500000000003</v>
      </c>
      <c r="C22" s="82">
        <f t="shared" si="9"/>
        <v>653.19970000000012</v>
      </c>
      <c r="D22" s="82">
        <f t="shared" si="9"/>
        <v>769.66020000000003</v>
      </c>
      <c r="E22" s="82">
        <f t="shared" si="9"/>
        <v>759.75120000000004</v>
      </c>
      <c r="F22" s="82">
        <f t="shared" si="9"/>
        <v>851.40149999999994</v>
      </c>
      <c r="G22" s="82">
        <f t="shared" si="9"/>
        <v>1220.9551831750125</v>
      </c>
      <c r="H22" s="82">
        <f t="shared" si="9"/>
        <v>1489.565323473515</v>
      </c>
      <c r="I22" s="82">
        <f t="shared" si="9"/>
        <v>1832.1653478724236</v>
      </c>
      <c r="J22" s="82">
        <f t="shared" si="9"/>
        <v>2253.5633778830806</v>
      </c>
      <c r="K22" s="83">
        <f t="shared" si="9"/>
        <v>2794.4185885750198</v>
      </c>
    </row>
    <row r="23" spans="1:11" ht="14.25" customHeight="1" x14ac:dyDescent="0.3">
      <c r="A23" s="100"/>
    </row>
    <row r="24" spans="1:11" ht="14.25" customHeight="1" x14ac:dyDescent="0.3">
      <c r="A24" s="98" t="s">
        <v>160</v>
      </c>
      <c r="B24" s="101">
        <f>'Profit and Loss forecast'!B13/'Working capital and Capex'!B20</f>
        <v>0.93289985857494073</v>
      </c>
      <c r="C24" s="102">
        <f>'Profit and Loss forecast'!C13/'Working capital and Capex'!C20</f>
        <v>1.047066443607221</v>
      </c>
      <c r="D24" s="102">
        <f>'Profit and Loss forecast'!D13/'Working capital and Capex'!D20</f>
        <v>1.0786517931568163</v>
      </c>
      <c r="E24" s="102">
        <f>'Profit and Loss forecast'!E13/'Working capital and Capex'!E20</f>
        <v>1.2918529913651404</v>
      </c>
      <c r="F24" s="102">
        <f>'Profit and Loss forecast'!F13/'Working capital and Capex'!F20</f>
        <v>1.3739986199663272</v>
      </c>
      <c r="G24" s="102">
        <f>AVERAGE($B$24:$F$24)</f>
        <v>1.1448939413340891</v>
      </c>
      <c r="H24" s="102">
        <f t="shared" ref="H24:K24" si="10">AVERAGE($B$24:$F$24)</f>
        <v>1.1448939413340891</v>
      </c>
      <c r="I24" s="102">
        <f t="shared" si="10"/>
        <v>1.1448939413340891</v>
      </c>
      <c r="J24" s="102">
        <f t="shared" si="10"/>
        <v>1.1448939413340891</v>
      </c>
      <c r="K24" s="103">
        <f t="shared" si="10"/>
        <v>1.1448939413340891</v>
      </c>
    </row>
    <row r="25" spans="1:11" ht="14.25" customHeight="1" x14ac:dyDescent="0.3">
      <c r="A25" s="104"/>
    </row>
    <row r="26" spans="1:11" ht="14.25" customHeight="1" x14ac:dyDescent="0.3">
      <c r="A26" s="105" t="s">
        <v>161</v>
      </c>
      <c r="B26" s="106">
        <f t="shared" ref="B26:F26" si="11">B21/B20</f>
        <v>4.0707107548418345E-2</v>
      </c>
      <c r="C26" s="107">
        <f t="shared" si="11"/>
        <v>7.1170656828541179E-2</v>
      </c>
      <c r="D26" s="107">
        <f t="shared" si="11"/>
        <v>6.5597772761343251E-2</v>
      </c>
      <c r="E26" s="107">
        <f t="shared" si="11"/>
        <v>6.5890429704477574E-2</v>
      </c>
      <c r="F26" s="107">
        <f t="shared" si="11"/>
        <v>6.0029808727332955E-2</v>
      </c>
      <c r="G26" s="107">
        <f t="shared" ref="G26:K26" si="12">AVERAGE($B$26:$F$26)</f>
        <v>6.0679155114022651E-2</v>
      </c>
      <c r="H26" s="107">
        <f t="shared" si="12"/>
        <v>6.0679155114022651E-2</v>
      </c>
      <c r="I26" s="107">
        <f t="shared" si="12"/>
        <v>6.0679155114022651E-2</v>
      </c>
      <c r="J26" s="107">
        <f t="shared" si="12"/>
        <v>6.0679155114022651E-2</v>
      </c>
      <c r="K26" s="108">
        <f t="shared" si="12"/>
        <v>6.0679155114022651E-2</v>
      </c>
    </row>
    <row r="27" spans="1:11" ht="14.25" customHeight="1" x14ac:dyDescent="0.3"/>
    <row r="28" spans="1:11" ht="14.25" customHeight="1" x14ac:dyDescent="0.3"/>
    <row r="29" spans="1:11" ht="14.25" customHeight="1" x14ac:dyDescent="0.3"/>
    <row r="30" spans="1:11" ht="14.25" customHeight="1" x14ac:dyDescent="0.3"/>
    <row r="31" spans="1:11" ht="14.25" customHeight="1" x14ac:dyDescent="0.3"/>
    <row r="32" spans="1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6">
    <mergeCell ref="A1:K1"/>
    <mergeCell ref="B2:F2"/>
    <mergeCell ref="G2:K2"/>
    <mergeCell ref="A15:K15"/>
    <mergeCell ref="B16:F16"/>
    <mergeCell ref="G16:K1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K1000"/>
  <sheetViews>
    <sheetView workbookViewId="0">
      <selection activeCell="J17" sqref="J17"/>
    </sheetView>
  </sheetViews>
  <sheetFormatPr defaultColWidth="14.44140625" defaultRowHeight="15" customHeight="1" x14ac:dyDescent="0.3"/>
  <cols>
    <col min="1" max="1" width="2.88671875" customWidth="1"/>
    <col min="2" max="2" width="10.33203125" customWidth="1"/>
    <col min="3" max="3" width="8.6640625" customWidth="1"/>
    <col min="4" max="4" width="12.44140625" customWidth="1"/>
    <col min="5" max="5" width="8.6640625" customWidth="1"/>
    <col min="6" max="6" width="9" bestFit="1" customWidth="1"/>
    <col min="7" max="7" width="12.44140625" customWidth="1"/>
    <col min="8" max="8" width="8.6640625" customWidth="1"/>
    <col min="9" max="9" width="22.6640625" customWidth="1"/>
    <col min="10" max="10" width="8.6640625" customWidth="1"/>
    <col min="11" max="11" width="15.88671875" customWidth="1"/>
    <col min="12" max="26" width="8.6640625" customWidth="1"/>
  </cols>
  <sheetData>
    <row r="1" spans="2:11" ht="14.25" customHeight="1" x14ac:dyDescent="0.35">
      <c r="B1" s="109" t="s">
        <v>162</v>
      </c>
      <c r="C1" s="109"/>
    </row>
    <row r="2" spans="2:11" ht="14.25" customHeight="1" x14ac:dyDescent="0.3"/>
    <row r="3" spans="2:11" ht="14.25" customHeight="1" x14ac:dyDescent="0.3"/>
    <row r="4" spans="2:11" ht="14.25" customHeight="1" x14ac:dyDescent="0.3">
      <c r="B4" s="250" t="s">
        <v>163</v>
      </c>
      <c r="C4" s="249"/>
      <c r="D4" s="251"/>
      <c r="F4" s="250" t="s">
        <v>164</v>
      </c>
      <c r="G4" s="249"/>
      <c r="H4" s="251"/>
    </row>
    <row r="5" spans="2:11" ht="14.25" customHeight="1" x14ac:dyDescent="0.3"/>
    <row r="6" spans="2:11" ht="14.25" customHeight="1" x14ac:dyDescent="0.3">
      <c r="B6" s="110" t="s">
        <v>165</v>
      </c>
      <c r="C6" s="111" t="s">
        <v>166</v>
      </c>
      <c r="D6" s="112" t="s">
        <v>167</v>
      </c>
      <c r="F6" s="110" t="s">
        <v>166</v>
      </c>
      <c r="G6" s="112" t="s">
        <v>167</v>
      </c>
      <c r="I6" s="8" t="s">
        <v>17</v>
      </c>
      <c r="J6" s="113">
        <f>SLOPE(D8:D110,G8:G110)</f>
        <v>1.1810699572775178</v>
      </c>
      <c r="K6" s="27" t="s">
        <v>168</v>
      </c>
    </row>
    <row r="7" spans="2:11" ht="14.25" customHeight="1" x14ac:dyDescent="0.3">
      <c r="B7" s="114">
        <v>45886</v>
      </c>
      <c r="C7" s="26">
        <v>1767.6</v>
      </c>
      <c r="F7" s="26">
        <v>22991.3</v>
      </c>
      <c r="I7" s="8" t="s">
        <v>169</v>
      </c>
      <c r="J7" s="115">
        <f>_xlfn.RRI(5,C110,C7)</f>
        <v>0.12727137768504537</v>
      </c>
    </row>
    <row r="8" spans="2:11" ht="14.25" customHeight="1" x14ac:dyDescent="0.3">
      <c r="B8" s="114">
        <v>45879</v>
      </c>
      <c r="C8" s="26">
        <v>1642.5</v>
      </c>
      <c r="D8" s="116">
        <f t="shared" ref="D8:D110" si="0">C8/C7-1</f>
        <v>-7.0773930753564085E-2</v>
      </c>
      <c r="F8" s="26">
        <v>22680.25</v>
      </c>
      <c r="G8" s="116">
        <f t="shared" ref="G8:G110" si="1">F8/F7-1</f>
        <v>-1.3529030546337029E-2</v>
      </c>
      <c r="I8" s="8" t="s">
        <v>170</v>
      </c>
      <c r="J8" s="117">
        <v>6.5000000000000002E-2</v>
      </c>
    </row>
    <row r="9" spans="2:11" ht="14.25" customHeight="1" x14ac:dyDescent="0.3">
      <c r="B9" s="114">
        <v>45872</v>
      </c>
      <c r="C9" s="26">
        <v>1598</v>
      </c>
      <c r="D9" s="116">
        <f t="shared" si="0"/>
        <v>-2.709284627092845E-2</v>
      </c>
      <c r="F9" s="26">
        <v>22443.15</v>
      </c>
      <c r="G9" s="116">
        <f t="shared" si="1"/>
        <v>-1.0454029386801178E-2</v>
      </c>
    </row>
    <row r="10" spans="2:11" ht="14.25" customHeight="1" x14ac:dyDescent="0.3">
      <c r="B10" s="114">
        <v>45865</v>
      </c>
      <c r="C10" s="26">
        <v>1740.7</v>
      </c>
      <c r="D10" s="116">
        <f t="shared" si="0"/>
        <v>8.9299123904881039E-2</v>
      </c>
      <c r="F10" s="26">
        <v>22673.65</v>
      </c>
      <c r="G10" s="116">
        <f t="shared" si="1"/>
        <v>1.0270394307394515E-2</v>
      </c>
    </row>
    <row r="11" spans="2:11" ht="14.25" customHeight="1" x14ac:dyDescent="0.3">
      <c r="B11" s="114">
        <v>45858</v>
      </c>
      <c r="C11" s="26">
        <v>1880.8</v>
      </c>
      <c r="D11" s="116">
        <f t="shared" si="0"/>
        <v>8.0484862411673408E-2</v>
      </c>
      <c r="F11" s="26">
        <v>23014.799999999999</v>
      </c>
      <c r="G11" s="116">
        <f t="shared" si="1"/>
        <v>1.5046099767791921E-2</v>
      </c>
    </row>
    <row r="12" spans="2:11" ht="14.25" customHeight="1" x14ac:dyDescent="0.3">
      <c r="B12" s="114">
        <v>45851</v>
      </c>
      <c r="C12" s="26">
        <v>1893.9</v>
      </c>
      <c r="D12" s="116">
        <f t="shared" si="0"/>
        <v>6.9651212250108063E-3</v>
      </c>
      <c r="F12" s="26">
        <v>23275.15</v>
      </c>
      <c r="G12" s="116">
        <f t="shared" si="1"/>
        <v>1.1312286007264971E-2</v>
      </c>
    </row>
    <row r="13" spans="2:11" ht="14.25" customHeight="1" x14ac:dyDescent="0.3">
      <c r="B13" s="114">
        <v>45844</v>
      </c>
      <c r="C13" s="26">
        <v>1803.3</v>
      </c>
      <c r="D13" s="116">
        <f t="shared" si="0"/>
        <v>-4.7837795026136609E-2</v>
      </c>
      <c r="F13" s="26">
        <v>23282.7</v>
      </c>
      <c r="G13" s="116">
        <f t="shared" si="1"/>
        <v>3.2438029400450041E-4</v>
      </c>
    </row>
    <row r="14" spans="2:11" ht="14.25" customHeight="1" x14ac:dyDescent="0.3">
      <c r="B14" s="114">
        <v>45837</v>
      </c>
      <c r="C14" s="26">
        <v>1737.7</v>
      </c>
      <c r="D14" s="116">
        <f t="shared" si="0"/>
        <v>-3.6377751899295707E-2</v>
      </c>
      <c r="F14" s="26">
        <v>23562.45</v>
      </c>
      <c r="G14" s="116">
        <f t="shared" si="1"/>
        <v>1.2015359043410001E-2</v>
      </c>
    </row>
    <row r="15" spans="2:11" ht="14.25" customHeight="1" x14ac:dyDescent="0.3">
      <c r="B15" s="114">
        <v>45830</v>
      </c>
      <c r="C15" s="26">
        <v>1823.5</v>
      </c>
      <c r="D15" s="116">
        <f t="shared" si="0"/>
        <v>4.9375611440409806E-2</v>
      </c>
      <c r="F15" s="26">
        <v>23620.15</v>
      </c>
      <c r="G15" s="116">
        <f t="shared" si="1"/>
        <v>2.4488115624647921E-3</v>
      </c>
    </row>
    <row r="16" spans="2:11" ht="14.25" customHeight="1" x14ac:dyDescent="0.3">
      <c r="B16" s="114">
        <v>45823</v>
      </c>
      <c r="C16" s="26">
        <v>1837.3</v>
      </c>
      <c r="D16" s="116">
        <f t="shared" si="0"/>
        <v>7.56786399780629E-3</v>
      </c>
      <c r="F16" s="26">
        <v>23041.1</v>
      </c>
      <c r="G16" s="116">
        <f t="shared" si="1"/>
        <v>-2.4515085636628187E-2</v>
      </c>
    </row>
    <row r="17" spans="2:7" ht="14.25" customHeight="1" x14ac:dyDescent="0.3">
      <c r="B17" s="114">
        <v>45816</v>
      </c>
      <c r="C17" s="26">
        <v>2109.6999999999998</v>
      </c>
      <c r="D17" s="116">
        <f t="shared" si="0"/>
        <v>0.14826103521471712</v>
      </c>
      <c r="F17" s="26">
        <v>22906.2</v>
      </c>
      <c r="G17" s="116">
        <f t="shared" si="1"/>
        <v>-5.8547551983194612E-3</v>
      </c>
    </row>
    <row r="18" spans="2:7" ht="14.25" customHeight="1" x14ac:dyDescent="0.3">
      <c r="B18" s="114">
        <v>45809</v>
      </c>
      <c r="C18" s="26">
        <v>1926.6</v>
      </c>
      <c r="D18" s="116">
        <f t="shared" si="0"/>
        <v>-8.6789590937100036E-2</v>
      </c>
      <c r="F18" s="26">
        <v>23165.1</v>
      </c>
      <c r="G18" s="116">
        <f t="shared" si="1"/>
        <v>1.1302616758781303E-2</v>
      </c>
    </row>
    <row r="19" spans="2:7" ht="14.25" customHeight="1" x14ac:dyDescent="0.3">
      <c r="B19" s="114">
        <v>45802</v>
      </c>
      <c r="C19" s="26">
        <v>1748.5</v>
      </c>
      <c r="D19" s="116">
        <f t="shared" si="0"/>
        <v>-9.244264507422395E-2</v>
      </c>
      <c r="F19" s="26">
        <v>22801.95</v>
      </c>
      <c r="G19" s="116">
        <f t="shared" si="1"/>
        <v>-1.5676599712498462E-2</v>
      </c>
    </row>
    <row r="20" spans="2:7" ht="14.25" customHeight="1" x14ac:dyDescent="0.3">
      <c r="B20" s="114">
        <v>45795</v>
      </c>
      <c r="C20" s="26">
        <v>1535.9</v>
      </c>
      <c r="D20" s="116">
        <f t="shared" si="0"/>
        <v>-0.12158993422933939</v>
      </c>
      <c r="F20" s="26">
        <v>22781.05</v>
      </c>
      <c r="G20" s="116">
        <f t="shared" si="1"/>
        <v>-9.1658827424856426E-4</v>
      </c>
    </row>
    <row r="21" spans="2:7" ht="14.25" customHeight="1" x14ac:dyDescent="0.3">
      <c r="B21" s="114">
        <v>45788</v>
      </c>
      <c r="C21" s="26">
        <v>1498.9</v>
      </c>
      <c r="D21" s="116">
        <f t="shared" si="0"/>
        <v>-2.409011003320527E-2</v>
      </c>
      <c r="F21" s="26">
        <v>22870.9</v>
      </c>
      <c r="G21" s="116">
        <f t="shared" si="1"/>
        <v>3.9440675473694231E-3</v>
      </c>
    </row>
    <row r="22" spans="2:7" ht="14.25" customHeight="1" x14ac:dyDescent="0.3">
      <c r="B22" s="114">
        <v>45781</v>
      </c>
      <c r="C22" s="26">
        <v>1543.6</v>
      </c>
      <c r="D22" s="116">
        <f t="shared" si="0"/>
        <v>2.9821869370871834E-2</v>
      </c>
      <c r="F22" s="26">
        <v>21675.55</v>
      </c>
      <c r="G22" s="116">
        <f t="shared" si="1"/>
        <v>-5.2265105439663562E-2</v>
      </c>
    </row>
    <row r="23" spans="2:7" ht="14.25" customHeight="1" x14ac:dyDescent="0.3">
      <c r="B23" s="114">
        <v>45774</v>
      </c>
      <c r="C23" s="26">
        <v>1490.6</v>
      </c>
      <c r="D23" s="116">
        <f t="shared" si="0"/>
        <v>-3.4335320031096184E-2</v>
      </c>
      <c r="F23" s="26">
        <v>22006</v>
      </c>
      <c r="G23" s="116">
        <f t="shared" si="1"/>
        <v>1.5245287893502102E-2</v>
      </c>
    </row>
    <row r="24" spans="2:7" ht="14.25" customHeight="1" x14ac:dyDescent="0.3">
      <c r="B24" s="114">
        <v>45767</v>
      </c>
      <c r="C24" s="26">
        <v>1588</v>
      </c>
      <c r="D24" s="116">
        <f t="shared" si="0"/>
        <v>6.5342814973836205E-2</v>
      </c>
      <c r="F24" s="26">
        <v>21848.15</v>
      </c>
      <c r="G24" s="116">
        <f t="shared" si="1"/>
        <v>-7.1730437153503246E-3</v>
      </c>
    </row>
    <row r="25" spans="2:7" ht="14.25" customHeight="1" x14ac:dyDescent="0.3">
      <c r="B25" s="114">
        <v>45760</v>
      </c>
      <c r="C25" s="26">
        <v>1721.9</v>
      </c>
      <c r="D25" s="116">
        <f t="shared" si="0"/>
        <v>8.4319899244332586E-2</v>
      </c>
      <c r="F25" s="26">
        <v>21681.55</v>
      </c>
      <c r="G25" s="116">
        <f t="shared" si="1"/>
        <v>-7.6253595842211697E-3</v>
      </c>
    </row>
    <row r="26" spans="2:7" ht="14.25" customHeight="1" x14ac:dyDescent="0.3">
      <c r="B26" s="114">
        <v>45753</v>
      </c>
      <c r="C26" s="26">
        <v>1653.85</v>
      </c>
      <c r="D26" s="116">
        <f t="shared" si="0"/>
        <v>-3.9520297345955191E-2</v>
      </c>
      <c r="F26" s="26">
        <v>20752.849999999999</v>
      </c>
      <c r="G26" s="116">
        <f t="shared" si="1"/>
        <v>-4.2833653498020263E-2</v>
      </c>
    </row>
    <row r="27" spans="2:7" ht="14.25" customHeight="1" x14ac:dyDescent="0.3">
      <c r="B27" s="114">
        <v>45746</v>
      </c>
      <c r="C27" s="26">
        <v>1656.65</v>
      </c>
      <c r="D27" s="116">
        <f t="shared" si="0"/>
        <v>1.6930193185598075E-3</v>
      </c>
      <c r="F27" s="26">
        <v>20805.349999999999</v>
      </c>
      <c r="G27" s="116">
        <f t="shared" si="1"/>
        <v>2.5297730191276013E-3</v>
      </c>
    </row>
    <row r="28" spans="2:7" ht="14.25" customHeight="1" x14ac:dyDescent="0.3">
      <c r="B28" s="114">
        <v>45739</v>
      </c>
      <c r="C28" s="26">
        <v>1680.6</v>
      </c>
      <c r="D28" s="116">
        <f t="shared" si="0"/>
        <v>1.4456885884163606E-2</v>
      </c>
      <c r="F28" s="26">
        <v>21339.55</v>
      </c>
      <c r="G28" s="116">
        <f t="shared" si="1"/>
        <v>2.5676088121564966E-2</v>
      </c>
    </row>
    <row r="29" spans="2:7" ht="14.25" customHeight="1" x14ac:dyDescent="0.3">
      <c r="B29" s="114">
        <v>45732</v>
      </c>
      <c r="C29" s="26">
        <v>1680.25</v>
      </c>
      <c r="D29" s="116">
        <f t="shared" si="0"/>
        <v>-2.0825895513498782E-4</v>
      </c>
      <c r="F29" s="26">
        <v>21273.9</v>
      </c>
      <c r="G29" s="116">
        <f t="shared" si="1"/>
        <v>-3.0764472540423249E-3</v>
      </c>
    </row>
    <row r="30" spans="2:7" ht="14.25" customHeight="1" x14ac:dyDescent="0.3">
      <c r="B30" s="114">
        <v>45725</v>
      </c>
      <c r="C30" s="26">
        <v>1649.15</v>
      </c>
      <c r="D30" s="116">
        <f t="shared" si="0"/>
        <v>-1.8509150424043996E-2</v>
      </c>
      <c r="F30" s="26">
        <v>20176.05</v>
      </c>
      <c r="G30" s="116">
        <f t="shared" si="1"/>
        <v>-5.1605488415382372E-2</v>
      </c>
    </row>
    <row r="31" spans="2:7" ht="14.25" customHeight="1" x14ac:dyDescent="0.3">
      <c r="B31" s="114">
        <v>45718</v>
      </c>
      <c r="C31" s="26">
        <v>1725.55</v>
      </c>
      <c r="D31" s="116">
        <f t="shared" si="0"/>
        <v>4.6326895673528767E-2</v>
      </c>
      <c r="F31" s="26">
        <v>20443.400000000001</v>
      </c>
      <c r="G31" s="116">
        <f t="shared" si="1"/>
        <v>1.3250859310915741E-2</v>
      </c>
    </row>
    <row r="32" spans="2:7" ht="14.25" customHeight="1" x14ac:dyDescent="0.3">
      <c r="B32" s="114">
        <v>45711</v>
      </c>
      <c r="C32" s="26">
        <v>1496.1</v>
      </c>
      <c r="D32" s="116">
        <f t="shared" si="0"/>
        <v>-0.13297209585349601</v>
      </c>
      <c r="F32" s="26">
        <v>19880.900000000001</v>
      </c>
      <c r="G32" s="116">
        <f t="shared" si="1"/>
        <v>-2.751499261375312E-2</v>
      </c>
    </row>
    <row r="33" spans="2:7" ht="14.25" customHeight="1" x14ac:dyDescent="0.3">
      <c r="B33" s="114">
        <v>45704</v>
      </c>
      <c r="C33" s="26">
        <v>1650.2</v>
      </c>
      <c r="D33" s="116">
        <f t="shared" si="0"/>
        <v>0.10300113628768148</v>
      </c>
      <c r="F33" s="26">
        <v>20690.25</v>
      </c>
      <c r="G33" s="116">
        <f t="shared" si="1"/>
        <v>4.0709927618970854E-2</v>
      </c>
    </row>
    <row r="34" spans="2:7" ht="14.25" customHeight="1" x14ac:dyDescent="0.3">
      <c r="B34" s="114">
        <v>45697</v>
      </c>
      <c r="C34" s="26">
        <v>1692.3</v>
      </c>
      <c r="D34" s="116">
        <f t="shared" si="0"/>
        <v>2.5512059144346066E-2</v>
      </c>
      <c r="F34" s="26">
        <v>20633.099999999999</v>
      </c>
      <c r="G34" s="116">
        <f t="shared" si="1"/>
        <v>-2.762170587595647E-3</v>
      </c>
    </row>
    <row r="35" spans="2:7" ht="14.25" customHeight="1" x14ac:dyDescent="0.3">
      <c r="B35" s="114">
        <v>45690</v>
      </c>
      <c r="C35" s="26">
        <v>2345.6</v>
      </c>
      <c r="D35" s="116">
        <f t="shared" si="0"/>
        <v>0.38604266383029007</v>
      </c>
      <c r="F35" s="26">
        <v>21646.15</v>
      </c>
      <c r="G35" s="116">
        <f t="shared" si="1"/>
        <v>4.9098293518666791E-2</v>
      </c>
    </row>
    <row r="36" spans="2:7" ht="14.25" customHeight="1" x14ac:dyDescent="0.3">
      <c r="B36" s="114">
        <v>45683</v>
      </c>
      <c r="C36" s="26">
        <v>2154.65</v>
      </c>
      <c r="D36" s="116">
        <f t="shared" si="0"/>
        <v>-8.1407742155525153E-2</v>
      </c>
      <c r="F36" s="26">
        <v>21580.9</v>
      </c>
      <c r="G36" s="116">
        <f t="shared" si="1"/>
        <v>-3.0143928597001768E-3</v>
      </c>
    </row>
    <row r="37" spans="2:7" ht="14.25" customHeight="1" x14ac:dyDescent="0.3">
      <c r="B37" s="114">
        <v>45676</v>
      </c>
      <c r="C37" s="26">
        <v>2096.5500000000002</v>
      </c>
      <c r="D37" s="116">
        <f t="shared" si="0"/>
        <v>-2.6964936300559184E-2</v>
      </c>
      <c r="F37" s="26">
        <v>21318.9</v>
      </c>
      <c r="G37" s="116">
        <f t="shared" si="1"/>
        <v>-1.2140364859667629E-2</v>
      </c>
    </row>
    <row r="38" spans="2:7" ht="14.25" customHeight="1" x14ac:dyDescent="0.3">
      <c r="B38" s="114">
        <v>45669</v>
      </c>
      <c r="C38" s="26">
        <v>2178</v>
      </c>
      <c r="D38" s="116">
        <f t="shared" si="0"/>
        <v>3.8849538527580885E-2</v>
      </c>
      <c r="F38" s="26">
        <v>21680.25</v>
      </c>
      <c r="G38" s="116">
        <f t="shared" si="1"/>
        <v>1.694974881443212E-2</v>
      </c>
    </row>
    <row r="39" spans="2:7" ht="14.25" customHeight="1" x14ac:dyDescent="0.3">
      <c r="B39" s="114">
        <v>45662</v>
      </c>
      <c r="C39" s="26">
        <v>2256.5</v>
      </c>
      <c r="D39" s="116">
        <f t="shared" si="0"/>
        <v>3.6042240587695229E-2</v>
      </c>
      <c r="F39" s="26">
        <v>21799</v>
      </c>
      <c r="G39" s="116">
        <f t="shared" si="1"/>
        <v>5.4773353628301269E-3</v>
      </c>
    </row>
    <row r="40" spans="2:7" ht="14.25" customHeight="1" x14ac:dyDescent="0.3">
      <c r="B40" s="114">
        <v>45655</v>
      </c>
      <c r="C40" s="26">
        <v>2083.9</v>
      </c>
      <c r="D40" s="116">
        <f t="shared" si="0"/>
        <v>-7.6490139596720574E-2</v>
      </c>
      <c r="F40" s="26">
        <v>22708.15</v>
      </c>
      <c r="G40" s="116">
        <f t="shared" si="1"/>
        <v>4.1706041561539564E-2</v>
      </c>
    </row>
    <row r="41" spans="2:7" ht="14.25" customHeight="1" x14ac:dyDescent="0.3">
      <c r="B41" s="114">
        <v>45648</v>
      </c>
      <c r="C41" s="26">
        <v>2165.1999999999998</v>
      </c>
      <c r="D41" s="116">
        <f t="shared" si="0"/>
        <v>3.9013388358366319E-2</v>
      </c>
      <c r="F41" s="26">
        <v>22445.200000000001</v>
      </c>
      <c r="G41" s="116">
        <f t="shared" si="1"/>
        <v>-1.1579543027503414E-2</v>
      </c>
    </row>
    <row r="42" spans="2:7" ht="14.25" customHeight="1" x14ac:dyDescent="0.3">
      <c r="B42" s="114">
        <v>45641</v>
      </c>
      <c r="C42" s="26">
        <v>2129.35</v>
      </c>
      <c r="D42" s="116">
        <f t="shared" si="0"/>
        <v>-1.6557361906521351E-2</v>
      </c>
      <c r="F42" s="26">
        <v>22319.4</v>
      </c>
      <c r="G42" s="116">
        <f t="shared" si="1"/>
        <v>-5.6047618198991067E-3</v>
      </c>
    </row>
    <row r="43" spans="2:7" ht="14.25" customHeight="1" x14ac:dyDescent="0.3">
      <c r="B43" s="114">
        <v>45634</v>
      </c>
      <c r="C43" s="26">
        <v>2111.4</v>
      </c>
      <c r="D43" s="116">
        <f t="shared" si="0"/>
        <v>-8.4298025218962902E-3</v>
      </c>
      <c r="F43" s="26">
        <v>23358.95</v>
      </c>
      <c r="G43" s="116">
        <f t="shared" si="1"/>
        <v>4.6576072833499182E-2</v>
      </c>
    </row>
    <row r="44" spans="2:7" ht="14.25" customHeight="1" x14ac:dyDescent="0.3">
      <c r="B44" s="114">
        <v>45627</v>
      </c>
      <c r="C44" s="26">
        <v>2171.6999999999998</v>
      </c>
      <c r="D44" s="116">
        <f t="shared" si="0"/>
        <v>2.8559249786871188E-2</v>
      </c>
      <c r="F44" s="26">
        <v>23312.1</v>
      </c>
      <c r="G44" s="116">
        <f t="shared" si="1"/>
        <v>-2.0056552199478883E-3</v>
      </c>
    </row>
    <row r="45" spans="2:7" ht="14.25" customHeight="1" x14ac:dyDescent="0.3">
      <c r="B45" s="114">
        <v>45620</v>
      </c>
      <c r="C45" s="26">
        <v>2127.5</v>
      </c>
      <c r="D45" s="116">
        <f t="shared" si="0"/>
        <v>-2.0352719068011171E-2</v>
      </c>
      <c r="F45" s="26">
        <v>22687</v>
      </c>
      <c r="G45" s="116">
        <f t="shared" si="1"/>
        <v>-2.6814401105005548E-2</v>
      </c>
    </row>
    <row r="46" spans="2:7" ht="14.25" customHeight="1" x14ac:dyDescent="0.3">
      <c r="B46" s="114">
        <v>45613</v>
      </c>
      <c r="C46" s="26">
        <v>2019.3</v>
      </c>
      <c r="D46" s="116">
        <f t="shared" si="0"/>
        <v>-5.085781433607528E-2</v>
      </c>
      <c r="F46" s="26">
        <v>22225.55</v>
      </c>
      <c r="G46" s="116">
        <f t="shared" si="1"/>
        <v>-2.0339842200379099E-2</v>
      </c>
    </row>
    <row r="47" spans="2:7" ht="14.25" customHeight="1" x14ac:dyDescent="0.3">
      <c r="B47" s="114">
        <v>45606</v>
      </c>
      <c r="C47" s="26">
        <v>1897.75</v>
      </c>
      <c r="D47" s="116">
        <f t="shared" si="0"/>
        <v>-6.0194126677561521E-2</v>
      </c>
      <c r="F47" s="26">
        <v>21963.1</v>
      </c>
      <c r="G47" s="116">
        <f t="shared" si="1"/>
        <v>-1.1808481679868477E-2</v>
      </c>
    </row>
    <row r="48" spans="2:7" ht="14.25" customHeight="1" x14ac:dyDescent="0.3">
      <c r="B48" s="114">
        <v>45599</v>
      </c>
      <c r="C48" s="26">
        <v>1850</v>
      </c>
      <c r="D48" s="116">
        <f t="shared" si="0"/>
        <v>-2.5161375312870549E-2</v>
      </c>
      <c r="F48" s="26">
        <v>22645.65</v>
      </c>
      <c r="G48" s="116">
        <f t="shared" si="1"/>
        <v>3.1077124813892576E-2</v>
      </c>
    </row>
    <row r="49" spans="2:7" ht="14.25" customHeight="1" x14ac:dyDescent="0.3">
      <c r="B49" s="114">
        <v>45592</v>
      </c>
      <c r="C49" s="26">
        <v>1861.3</v>
      </c>
      <c r="D49" s="116">
        <f t="shared" si="0"/>
        <v>6.1081081081080235E-3</v>
      </c>
      <c r="F49" s="26">
        <v>22823.55</v>
      </c>
      <c r="G49" s="116">
        <f t="shared" si="1"/>
        <v>7.8558133681301268E-3</v>
      </c>
    </row>
    <row r="50" spans="2:7" ht="14.25" customHeight="1" x14ac:dyDescent="0.3">
      <c r="B50" s="114">
        <v>45585</v>
      </c>
      <c r="C50" s="26">
        <v>1807.4</v>
      </c>
      <c r="D50" s="116">
        <f t="shared" si="0"/>
        <v>-2.8958254983076248E-2</v>
      </c>
      <c r="F50" s="26">
        <v>22499.05</v>
      </c>
      <c r="G50" s="116">
        <f t="shared" si="1"/>
        <v>-1.4217770679846087E-2</v>
      </c>
    </row>
    <row r="51" spans="2:7" ht="14.25" customHeight="1" x14ac:dyDescent="0.3">
      <c r="B51" s="114">
        <v>45578</v>
      </c>
      <c r="C51" s="26">
        <v>2018.05</v>
      </c>
      <c r="D51" s="116">
        <f t="shared" si="0"/>
        <v>0.11654863339603838</v>
      </c>
      <c r="F51" s="26">
        <v>23440.7</v>
      </c>
      <c r="G51" s="116">
        <f t="shared" si="1"/>
        <v>4.1852878232636614E-2</v>
      </c>
    </row>
    <row r="52" spans="2:7" ht="14.25" customHeight="1" x14ac:dyDescent="0.3">
      <c r="B52" s="114">
        <v>45571</v>
      </c>
      <c r="C52" s="26">
        <v>1895.65</v>
      </c>
      <c r="D52" s="116">
        <f t="shared" si="0"/>
        <v>-6.065261019300805E-2</v>
      </c>
      <c r="F52" s="26">
        <v>23611.25</v>
      </c>
      <c r="G52" s="116">
        <f t="shared" si="1"/>
        <v>7.2758066098708163E-3</v>
      </c>
    </row>
    <row r="53" spans="2:7" ht="14.25" customHeight="1" x14ac:dyDescent="0.3">
      <c r="B53" s="114">
        <v>45564</v>
      </c>
      <c r="C53" s="26">
        <v>1921.25</v>
      </c>
      <c r="D53" s="116">
        <f t="shared" si="0"/>
        <v>1.3504602642892882E-2</v>
      </c>
      <c r="F53" s="26">
        <v>23534.95</v>
      </c>
      <c r="G53" s="116">
        <f t="shared" si="1"/>
        <v>-3.2315104028799446E-3</v>
      </c>
    </row>
    <row r="54" spans="2:7" ht="14.25" customHeight="1" x14ac:dyDescent="0.3">
      <c r="B54" s="114">
        <v>45557</v>
      </c>
      <c r="C54" s="26">
        <v>2047.8</v>
      </c>
      <c r="D54" s="116">
        <f t="shared" si="0"/>
        <v>6.5868575146388997E-2</v>
      </c>
      <c r="F54" s="26">
        <v>24489.55</v>
      </c>
      <c r="G54" s="116">
        <f t="shared" si="1"/>
        <v>4.0560952965695618E-2</v>
      </c>
    </row>
    <row r="55" spans="2:7" ht="14.25" customHeight="1" x14ac:dyDescent="0.3">
      <c r="B55" s="114">
        <v>45550</v>
      </c>
      <c r="C55" s="26">
        <v>2601.1</v>
      </c>
      <c r="D55" s="116">
        <f t="shared" si="0"/>
        <v>0.27019240160171898</v>
      </c>
      <c r="F55" s="26">
        <v>24193.8</v>
      </c>
      <c r="G55" s="116">
        <f t="shared" si="1"/>
        <v>-1.2076579602320225E-2</v>
      </c>
    </row>
    <row r="56" spans="2:7" ht="14.25" customHeight="1" x14ac:dyDescent="0.3">
      <c r="B56" s="114">
        <v>45543</v>
      </c>
      <c r="C56" s="26">
        <v>2079.3000000000002</v>
      </c>
      <c r="D56" s="116">
        <f t="shared" si="0"/>
        <v>-0.20060743531582781</v>
      </c>
      <c r="F56" s="26">
        <v>23928.2</v>
      </c>
      <c r="G56" s="116">
        <f t="shared" si="1"/>
        <v>-1.0978019161933972E-2</v>
      </c>
    </row>
    <row r="57" spans="2:7" ht="14.25" customHeight="1" x14ac:dyDescent="0.3">
      <c r="B57" s="114">
        <v>45536</v>
      </c>
      <c r="C57" s="26">
        <v>1835.9</v>
      </c>
      <c r="D57" s="116">
        <f t="shared" si="0"/>
        <v>-0.11705862549896606</v>
      </c>
      <c r="F57" s="26">
        <v>23477.7</v>
      </c>
      <c r="G57" s="116">
        <f t="shared" si="1"/>
        <v>-1.8827157914092951E-2</v>
      </c>
    </row>
    <row r="58" spans="2:7" ht="14.25" customHeight="1" x14ac:dyDescent="0.3">
      <c r="B58" s="114">
        <v>45529</v>
      </c>
      <c r="C58" s="26">
        <v>1665.9</v>
      </c>
      <c r="D58" s="116">
        <f t="shared" si="0"/>
        <v>-9.259763603682114E-2</v>
      </c>
      <c r="F58" s="26">
        <v>23734.55</v>
      </c>
      <c r="G58" s="116">
        <f t="shared" si="1"/>
        <v>1.0940168755883217E-2</v>
      </c>
    </row>
    <row r="59" spans="2:7" ht="14.25" customHeight="1" x14ac:dyDescent="0.3">
      <c r="B59" s="114">
        <v>45522</v>
      </c>
      <c r="C59" s="26">
        <v>1643.75</v>
      </c>
      <c r="D59" s="116">
        <f t="shared" si="0"/>
        <v>-1.3296116213458276E-2</v>
      </c>
      <c r="F59" s="26">
        <v>23418.65</v>
      </c>
      <c r="G59" s="116">
        <f t="shared" si="1"/>
        <v>-1.3309710948806619E-2</v>
      </c>
    </row>
    <row r="60" spans="2:7" ht="14.25" customHeight="1" x14ac:dyDescent="0.3">
      <c r="B60" s="114">
        <v>45515</v>
      </c>
      <c r="C60" s="26">
        <v>1634.2</v>
      </c>
      <c r="D60" s="116">
        <f t="shared" si="0"/>
        <v>-5.8098859315589557E-3</v>
      </c>
      <c r="F60" s="26">
        <v>23056.5</v>
      </c>
      <c r="G60" s="116">
        <f t="shared" si="1"/>
        <v>-1.5464170650315134E-2</v>
      </c>
    </row>
    <row r="61" spans="2:7" ht="14.25" customHeight="1" x14ac:dyDescent="0.3">
      <c r="B61" s="114">
        <v>45508</v>
      </c>
      <c r="C61" s="26">
        <v>1553.65</v>
      </c>
      <c r="D61" s="116">
        <f t="shared" si="0"/>
        <v>-4.9290172561497925E-2</v>
      </c>
      <c r="F61" s="26">
        <v>22923.5</v>
      </c>
      <c r="G61" s="116">
        <f t="shared" si="1"/>
        <v>-5.7684384013184653E-3</v>
      </c>
    </row>
    <row r="62" spans="2:7" ht="14.25" customHeight="1" x14ac:dyDescent="0.3">
      <c r="B62" s="114">
        <v>45501</v>
      </c>
      <c r="C62" s="26">
        <v>1579.3</v>
      </c>
      <c r="D62" s="116">
        <f t="shared" si="0"/>
        <v>1.6509509863868788E-2</v>
      </c>
      <c r="F62" s="26">
        <v>23259.45</v>
      </c>
      <c r="G62" s="116">
        <f t="shared" si="1"/>
        <v>1.465526642964643E-2</v>
      </c>
    </row>
    <row r="63" spans="2:7" ht="14.25" customHeight="1" x14ac:dyDescent="0.3">
      <c r="B63" s="114">
        <v>45494</v>
      </c>
      <c r="C63" s="26">
        <v>1702.65</v>
      </c>
      <c r="D63" s="116">
        <f t="shared" si="0"/>
        <v>7.8104223390109695E-2</v>
      </c>
      <c r="F63" s="26">
        <v>23292.05</v>
      </c>
      <c r="G63" s="116">
        <f t="shared" si="1"/>
        <v>1.4015808628320414E-3</v>
      </c>
    </row>
    <row r="64" spans="2:7" ht="14.25" customHeight="1" x14ac:dyDescent="0.3">
      <c r="B64" s="114">
        <v>45487</v>
      </c>
      <c r="C64" s="26">
        <v>1672.55</v>
      </c>
      <c r="D64" s="116">
        <f t="shared" si="0"/>
        <v>-1.767832496402677E-2</v>
      </c>
      <c r="F64" s="26">
        <v>22853.599999999999</v>
      </c>
      <c r="G64" s="116">
        <f t="shared" si="1"/>
        <v>-1.8824019354243271E-2</v>
      </c>
    </row>
    <row r="65" spans="2:7" ht="14.25" customHeight="1" x14ac:dyDescent="0.3">
      <c r="B65" s="114">
        <v>45480</v>
      </c>
      <c r="C65" s="26">
        <v>1689.9</v>
      </c>
      <c r="D65" s="116">
        <f t="shared" si="0"/>
        <v>1.0373381961675365E-2</v>
      </c>
      <c r="F65" s="26">
        <v>23095.45</v>
      </c>
      <c r="G65" s="116">
        <f t="shared" si="1"/>
        <v>1.0582577799558956E-2</v>
      </c>
    </row>
    <row r="66" spans="2:7" ht="14.25" customHeight="1" x14ac:dyDescent="0.3">
      <c r="B66" s="114">
        <v>45473</v>
      </c>
      <c r="C66" s="26">
        <v>1683.7</v>
      </c>
      <c r="D66" s="116">
        <f t="shared" si="0"/>
        <v>-3.6688561453340762E-3</v>
      </c>
      <c r="F66" s="26">
        <v>22987.65</v>
      </c>
      <c r="G66" s="116">
        <f t="shared" si="1"/>
        <v>-4.6675860396744318E-3</v>
      </c>
    </row>
    <row r="67" spans="2:7" ht="14.25" customHeight="1" x14ac:dyDescent="0.3">
      <c r="B67" s="114">
        <v>45466</v>
      </c>
      <c r="C67" s="26">
        <v>1549.05</v>
      </c>
      <c r="D67" s="116">
        <f t="shared" si="0"/>
        <v>-7.9972679218388132E-2</v>
      </c>
      <c r="F67" s="26">
        <v>22559.7</v>
      </c>
      <c r="G67" s="116">
        <f t="shared" si="1"/>
        <v>-1.861651799988262E-2</v>
      </c>
    </row>
    <row r="68" spans="2:7" ht="14.25" customHeight="1" x14ac:dyDescent="0.3">
      <c r="B68" s="114">
        <v>45459</v>
      </c>
      <c r="C68" s="26">
        <v>1559.65</v>
      </c>
      <c r="D68" s="116">
        <f t="shared" si="0"/>
        <v>6.8429037151802596E-3</v>
      </c>
      <c r="F68" s="26">
        <v>22236.2</v>
      </c>
      <c r="G68" s="116">
        <f t="shared" si="1"/>
        <v>-1.4339729694987091E-2</v>
      </c>
    </row>
    <row r="69" spans="2:7" ht="14.25" customHeight="1" x14ac:dyDescent="0.3">
      <c r="B69" s="114">
        <v>45452</v>
      </c>
      <c r="C69" s="26">
        <v>1530.5</v>
      </c>
      <c r="D69" s="116">
        <f t="shared" si="0"/>
        <v>-1.8690090725483333E-2</v>
      </c>
      <c r="F69" s="26">
        <v>22214.3</v>
      </c>
      <c r="G69" s="116">
        <f t="shared" si="1"/>
        <v>-9.8488051015921396E-4</v>
      </c>
    </row>
    <row r="70" spans="2:7" ht="14.25" customHeight="1" x14ac:dyDescent="0.3">
      <c r="B70" s="114">
        <v>45445</v>
      </c>
      <c r="C70" s="26">
        <v>1453.5</v>
      </c>
      <c r="D70" s="116">
        <f t="shared" si="0"/>
        <v>-5.0310356092780117E-2</v>
      </c>
      <c r="F70" s="26">
        <v>21764.15</v>
      </c>
      <c r="G70" s="116">
        <f t="shared" si="1"/>
        <v>-2.0263974106768945E-2</v>
      </c>
    </row>
    <row r="71" spans="2:7" ht="14.25" customHeight="1" x14ac:dyDescent="0.3">
      <c r="B71" s="114">
        <v>45438</v>
      </c>
      <c r="C71" s="26">
        <v>1463.5</v>
      </c>
      <c r="D71" s="116">
        <f t="shared" si="0"/>
        <v>6.8799449604404206E-3</v>
      </c>
      <c r="F71" s="26">
        <v>21103.3</v>
      </c>
      <c r="G71" s="116">
        <f t="shared" si="1"/>
        <v>-3.036415389528202E-2</v>
      </c>
    </row>
    <row r="72" spans="2:7" ht="14.25" customHeight="1" x14ac:dyDescent="0.3">
      <c r="B72" s="114">
        <v>45431</v>
      </c>
      <c r="C72" s="26">
        <v>1451.65</v>
      </c>
      <c r="D72" s="116">
        <f t="shared" si="0"/>
        <v>-8.0970276733856039E-3</v>
      </c>
      <c r="F72" s="26">
        <v>21483.75</v>
      </c>
      <c r="G72" s="116">
        <f t="shared" si="1"/>
        <v>1.8027986144347086E-2</v>
      </c>
    </row>
    <row r="73" spans="2:7" ht="14.25" customHeight="1" x14ac:dyDescent="0.3">
      <c r="B73" s="114">
        <v>45424</v>
      </c>
      <c r="C73" s="26">
        <v>1431.7</v>
      </c>
      <c r="D73" s="116">
        <f t="shared" si="0"/>
        <v>-1.3742982123790215E-2</v>
      </c>
      <c r="F73" s="26">
        <v>21064.55</v>
      </c>
      <c r="G73" s="116">
        <f t="shared" si="1"/>
        <v>-1.9512422179554401E-2</v>
      </c>
    </row>
    <row r="74" spans="2:7" ht="14.25" customHeight="1" x14ac:dyDescent="0.3">
      <c r="B74" s="114">
        <v>45417</v>
      </c>
      <c r="C74" s="26">
        <v>1509.1</v>
      </c>
      <c r="D74" s="116">
        <f t="shared" si="0"/>
        <v>5.4061605084864128E-2</v>
      </c>
      <c r="F74" s="26">
        <v>20469.099999999999</v>
      </c>
      <c r="G74" s="116">
        <f t="shared" si="1"/>
        <v>-2.8267871851048398E-2</v>
      </c>
    </row>
    <row r="75" spans="2:7" ht="14.25" customHeight="1" x14ac:dyDescent="0.3">
      <c r="B75" s="114">
        <v>45410</v>
      </c>
      <c r="C75" s="26">
        <v>1617.75</v>
      </c>
      <c r="D75" s="116">
        <f t="shared" si="0"/>
        <v>7.1996554237625077E-2</v>
      </c>
      <c r="F75" s="26">
        <v>20959.55</v>
      </c>
      <c r="G75" s="116">
        <f t="shared" si="1"/>
        <v>2.3960506324166797E-2</v>
      </c>
    </row>
    <row r="76" spans="2:7" ht="14.25" customHeight="1" x14ac:dyDescent="0.3">
      <c r="B76" s="114">
        <v>45403</v>
      </c>
      <c r="C76" s="26">
        <v>1660.05</v>
      </c>
      <c r="D76" s="116">
        <f t="shared" si="0"/>
        <v>2.6147426981919297E-2</v>
      </c>
      <c r="F76" s="26">
        <v>20839.349999999999</v>
      </c>
      <c r="G76" s="116">
        <f t="shared" si="1"/>
        <v>-5.7348559487203632E-3</v>
      </c>
    </row>
    <row r="77" spans="2:7" ht="14.25" customHeight="1" x14ac:dyDescent="0.3">
      <c r="B77" s="114">
        <v>45396</v>
      </c>
      <c r="C77" s="26">
        <v>1593</v>
      </c>
      <c r="D77" s="116">
        <f t="shared" si="0"/>
        <v>-4.0390349688262384E-2</v>
      </c>
      <c r="F77" s="26">
        <v>20385.2</v>
      </c>
      <c r="G77" s="116">
        <f t="shared" si="1"/>
        <v>-2.1792906208686791E-2</v>
      </c>
    </row>
    <row r="78" spans="2:7" ht="14.25" customHeight="1" x14ac:dyDescent="0.3">
      <c r="B78" s="114">
        <v>45389</v>
      </c>
      <c r="C78" s="26">
        <v>1560</v>
      </c>
      <c r="D78" s="116">
        <f t="shared" si="0"/>
        <v>-2.0715630885122405E-2</v>
      </c>
      <c r="F78" s="26">
        <v>20745.5</v>
      </c>
      <c r="G78" s="116">
        <f t="shared" si="1"/>
        <v>1.7674587445793977E-2</v>
      </c>
    </row>
    <row r="79" spans="2:7" ht="14.25" customHeight="1" x14ac:dyDescent="0.3">
      <c r="B79" s="114">
        <v>45382</v>
      </c>
      <c r="C79" s="26">
        <v>1536.35</v>
      </c>
      <c r="D79" s="116">
        <f t="shared" si="0"/>
        <v>-1.5160256410256423E-2</v>
      </c>
      <c r="F79" s="26">
        <v>20715.099999999999</v>
      </c>
      <c r="G79" s="116">
        <f t="shared" si="1"/>
        <v>-1.4653780337905431E-3</v>
      </c>
    </row>
    <row r="80" spans="2:7" ht="14.25" customHeight="1" x14ac:dyDescent="0.3">
      <c r="B80" s="114">
        <v>45375</v>
      </c>
      <c r="C80" s="26">
        <v>1520.8</v>
      </c>
      <c r="D80" s="116">
        <f t="shared" si="0"/>
        <v>-1.0121391609984709E-2</v>
      </c>
      <c r="F80" s="26">
        <v>20255.150000000001</v>
      </c>
      <c r="G80" s="116">
        <f t="shared" si="1"/>
        <v>-2.2203609927057943E-2</v>
      </c>
    </row>
    <row r="81" spans="2:7" ht="14.25" customHeight="1" x14ac:dyDescent="0.3">
      <c r="B81" s="114">
        <v>45368</v>
      </c>
      <c r="C81" s="26">
        <v>1493.1</v>
      </c>
      <c r="D81" s="116">
        <f t="shared" si="0"/>
        <v>-1.8214097843240462E-2</v>
      </c>
      <c r="F81" s="26">
        <v>19994.599999999999</v>
      </c>
      <c r="G81" s="116">
        <f t="shared" si="1"/>
        <v>-1.2863395235286013E-2</v>
      </c>
    </row>
    <row r="82" spans="2:7" ht="14.25" customHeight="1" x14ac:dyDescent="0.3">
      <c r="B82" s="114">
        <v>45361</v>
      </c>
      <c r="C82" s="26">
        <v>1401.85</v>
      </c>
      <c r="D82" s="116">
        <f t="shared" si="0"/>
        <v>-6.1114459848637059E-2</v>
      </c>
      <c r="F82" s="26">
        <v>19825.2</v>
      </c>
      <c r="G82" s="116">
        <f t="shared" si="1"/>
        <v>-8.4722875176296286E-3</v>
      </c>
    </row>
    <row r="83" spans="2:7" ht="14.25" customHeight="1" x14ac:dyDescent="0.3">
      <c r="B83" s="114">
        <v>45354</v>
      </c>
      <c r="C83" s="26">
        <v>1532.3</v>
      </c>
      <c r="D83" s="116">
        <f t="shared" si="0"/>
        <v>9.30556050932696E-2</v>
      </c>
      <c r="F83" s="26">
        <v>20434.8</v>
      </c>
      <c r="G83" s="116">
        <f t="shared" si="1"/>
        <v>3.0748744022758734E-2</v>
      </c>
    </row>
    <row r="84" spans="2:7" ht="14.25" customHeight="1" x14ac:dyDescent="0.3">
      <c r="B84" s="114">
        <v>45347</v>
      </c>
      <c r="C84" s="26">
        <v>1478.8</v>
      </c>
      <c r="D84" s="116">
        <f t="shared" si="0"/>
        <v>-3.4914833909808762E-2</v>
      </c>
      <c r="F84" s="26">
        <v>20349.8</v>
      </c>
      <c r="G84" s="116">
        <f t="shared" si="1"/>
        <v>-4.1595709280247695E-3</v>
      </c>
    </row>
    <row r="85" spans="2:7" ht="14.25" customHeight="1" x14ac:dyDescent="0.3">
      <c r="B85" s="114">
        <v>45340</v>
      </c>
      <c r="C85" s="26">
        <v>1475.25</v>
      </c>
      <c r="D85" s="116">
        <f t="shared" si="0"/>
        <v>-2.4005950770894513E-3</v>
      </c>
      <c r="F85" s="26">
        <v>20313.5</v>
      </c>
      <c r="G85" s="116">
        <f t="shared" si="1"/>
        <v>-1.7838013150005549E-3</v>
      </c>
    </row>
    <row r="86" spans="2:7" ht="14.25" customHeight="1" x14ac:dyDescent="0.3">
      <c r="B86" s="114">
        <v>45333</v>
      </c>
      <c r="C86" s="26">
        <v>1464</v>
      </c>
      <c r="D86" s="116">
        <f t="shared" si="0"/>
        <v>-7.6258261311642483E-3</v>
      </c>
      <c r="F86" s="26">
        <v>20164.900000000001</v>
      </c>
      <c r="G86" s="116">
        <f t="shared" si="1"/>
        <v>-7.3153321682624117E-3</v>
      </c>
    </row>
    <row r="87" spans="2:7" ht="14.25" customHeight="1" x14ac:dyDescent="0.3">
      <c r="B87" s="114">
        <v>45326</v>
      </c>
      <c r="C87" s="26">
        <v>1457.1</v>
      </c>
      <c r="D87" s="116">
        <f t="shared" si="0"/>
        <v>-4.7131147540984131E-3</v>
      </c>
      <c r="F87" s="26">
        <v>19961.5</v>
      </c>
      <c r="G87" s="116">
        <f t="shared" si="1"/>
        <v>-1.0086834053231186E-2</v>
      </c>
    </row>
    <row r="88" spans="2:7" ht="14.25" customHeight="1" x14ac:dyDescent="0.3">
      <c r="B88" s="114">
        <v>45319</v>
      </c>
      <c r="C88" s="26">
        <v>1464.2</v>
      </c>
      <c r="D88" s="116">
        <f t="shared" si="0"/>
        <v>4.8726923340882689E-3</v>
      </c>
      <c r="F88" s="26">
        <v>19910.8</v>
      </c>
      <c r="G88" s="116">
        <f t="shared" si="1"/>
        <v>-2.5398892868773171E-3</v>
      </c>
    </row>
    <row r="89" spans="2:7" ht="14.25" customHeight="1" x14ac:dyDescent="0.3">
      <c r="B89" s="114">
        <v>45312</v>
      </c>
      <c r="C89" s="26">
        <v>1386.1</v>
      </c>
      <c r="D89" s="116">
        <f t="shared" si="0"/>
        <v>-5.333970769020635E-2</v>
      </c>
      <c r="F89" s="26">
        <v>19393</v>
      </c>
      <c r="G89" s="116">
        <f t="shared" si="1"/>
        <v>-2.6005986700684991E-2</v>
      </c>
    </row>
    <row r="90" spans="2:7" ht="14.25" customHeight="1" x14ac:dyDescent="0.3">
      <c r="B90" s="114">
        <v>45305</v>
      </c>
      <c r="C90" s="26">
        <v>1389.85</v>
      </c>
      <c r="D90" s="116">
        <f t="shared" si="0"/>
        <v>2.7054325084769903E-3</v>
      </c>
      <c r="F90" s="26">
        <v>19606.400000000001</v>
      </c>
      <c r="G90" s="116">
        <f t="shared" si="1"/>
        <v>1.1003970504821492E-2</v>
      </c>
    </row>
    <row r="91" spans="2:7" ht="14.25" customHeight="1" x14ac:dyDescent="0.3">
      <c r="B91" s="114">
        <v>45298</v>
      </c>
      <c r="C91" s="26">
        <v>1428.85</v>
      </c>
      <c r="D91" s="116">
        <f t="shared" si="0"/>
        <v>2.8060582077202634E-2</v>
      </c>
      <c r="F91" s="26">
        <v>19745.599999999999</v>
      </c>
      <c r="G91" s="116">
        <f t="shared" si="1"/>
        <v>7.0997225395788011E-3</v>
      </c>
    </row>
    <row r="92" spans="2:7" ht="14.25" customHeight="1" x14ac:dyDescent="0.3">
      <c r="B92" s="114">
        <v>45291</v>
      </c>
      <c r="C92" s="26">
        <v>1549.95</v>
      </c>
      <c r="D92" s="116">
        <f t="shared" si="0"/>
        <v>8.4753473072750829E-2</v>
      </c>
      <c r="F92" s="26">
        <v>19590.599999999999</v>
      </c>
      <c r="G92" s="116">
        <f t="shared" si="1"/>
        <v>-7.8498500931852844E-3</v>
      </c>
    </row>
    <row r="93" spans="2:7" ht="14.25" customHeight="1" x14ac:dyDescent="0.3">
      <c r="B93" s="114">
        <v>45284</v>
      </c>
      <c r="C93" s="26">
        <v>1471.8</v>
      </c>
      <c r="D93" s="116">
        <f t="shared" si="0"/>
        <v>-5.0420981321978142E-2</v>
      </c>
      <c r="F93" s="26">
        <v>19429.150000000001</v>
      </c>
      <c r="G93" s="116">
        <f t="shared" si="1"/>
        <v>-8.2411973089132617E-3</v>
      </c>
    </row>
    <row r="94" spans="2:7" ht="14.25" customHeight="1" x14ac:dyDescent="0.3">
      <c r="B94" s="114">
        <v>45277</v>
      </c>
      <c r="C94" s="26">
        <v>1504.7</v>
      </c>
      <c r="D94" s="116">
        <f t="shared" si="0"/>
        <v>2.2353580649544735E-2</v>
      </c>
      <c r="F94" s="26">
        <v>19054.7</v>
      </c>
      <c r="G94" s="116">
        <f t="shared" si="1"/>
        <v>-1.9272587838376931E-2</v>
      </c>
    </row>
    <row r="95" spans="2:7" ht="14.25" customHeight="1" x14ac:dyDescent="0.3">
      <c r="B95" s="114">
        <v>45270</v>
      </c>
      <c r="C95" s="26">
        <v>1321</v>
      </c>
      <c r="D95" s="116">
        <f t="shared" si="0"/>
        <v>-0.12208413637269888</v>
      </c>
      <c r="F95" s="26">
        <v>19145.05</v>
      </c>
      <c r="G95" s="116">
        <f t="shared" si="1"/>
        <v>4.741612305625198E-3</v>
      </c>
    </row>
    <row r="96" spans="2:7" ht="14.25" customHeight="1" x14ac:dyDescent="0.3">
      <c r="B96" s="114">
        <v>45263</v>
      </c>
      <c r="C96" s="26">
        <v>1316.5</v>
      </c>
      <c r="D96" s="116">
        <f t="shared" si="0"/>
        <v>-3.4065102195306451E-3</v>
      </c>
      <c r="F96" s="26">
        <v>18703.5</v>
      </c>
      <c r="G96" s="116">
        <f t="shared" si="1"/>
        <v>-2.3063402811692835E-2</v>
      </c>
    </row>
    <row r="97" spans="2:7" ht="14.25" customHeight="1" x14ac:dyDescent="0.3">
      <c r="B97" s="114">
        <v>45256</v>
      </c>
      <c r="C97" s="26">
        <v>1305.75</v>
      </c>
      <c r="D97" s="116">
        <f t="shared" si="0"/>
        <v>-8.165590581086235E-3</v>
      </c>
      <c r="F97" s="26">
        <v>18115.349999999999</v>
      </c>
      <c r="G97" s="116">
        <f t="shared" si="1"/>
        <v>-3.1445986045392615E-2</v>
      </c>
    </row>
    <row r="98" spans="2:7" ht="14.25" customHeight="1" x14ac:dyDescent="0.3">
      <c r="B98" s="114">
        <v>45249</v>
      </c>
      <c r="C98" s="26">
        <v>1257.8499999999999</v>
      </c>
      <c r="D98" s="116">
        <f t="shared" si="0"/>
        <v>-3.6683898142829907E-2</v>
      </c>
      <c r="F98" s="26">
        <v>17643.5</v>
      </c>
      <c r="G98" s="116">
        <f t="shared" si="1"/>
        <v>-2.6046971215019199E-2</v>
      </c>
    </row>
    <row r="99" spans="2:7" ht="14.25" customHeight="1" x14ac:dyDescent="0.3">
      <c r="B99" s="114">
        <v>45242</v>
      </c>
      <c r="C99" s="26">
        <v>1280.2</v>
      </c>
      <c r="D99" s="116">
        <f t="shared" si="0"/>
        <v>1.776841435783294E-2</v>
      </c>
      <c r="F99" s="26">
        <v>17600.5</v>
      </c>
      <c r="G99" s="116">
        <f t="shared" si="1"/>
        <v>-2.4371581602289361E-3</v>
      </c>
    </row>
    <row r="100" spans="2:7" ht="14.25" customHeight="1" x14ac:dyDescent="0.3">
      <c r="B100" s="114">
        <v>45235</v>
      </c>
      <c r="C100" s="26">
        <v>1302.5999999999999</v>
      </c>
      <c r="D100" s="116">
        <f t="shared" si="0"/>
        <v>1.7497266052179272E-2</v>
      </c>
      <c r="F100" s="26">
        <v>17256.599999999999</v>
      </c>
      <c r="G100" s="116">
        <f t="shared" si="1"/>
        <v>-1.9539217635862749E-2</v>
      </c>
    </row>
    <row r="101" spans="2:7" ht="14.25" customHeight="1" x14ac:dyDescent="0.3">
      <c r="B101" s="114">
        <v>45228</v>
      </c>
      <c r="C101" s="26">
        <v>1144.9000000000001</v>
      </c>
      <c r="D101" s="116">
        <f t="shared" si="0"/>
        <v>-0.12106556118532152</v>
      </c>
      <c r="F101" s="26">
        <v>17000.95</v>
      </c>
      <c r="G101" s="116">
        <f t="shared" si="1"/>
        <v>-1.4814621652005533E-2</v>
      </c>
    </row>
    <row r="102" spans="2:7" ht="14.25" customHeight="1" x14ac:dyDescent="0.3">
      <c r="B102" s="114">
        <v>45221</v>
      </c>
      <c r="C102" s="26">
        <v>1205.2</v>
      </c>
      <c r="D102" s="116">
        <f t="shared" si="0"/>
        <v>5.2668355314874571E-2</v>
      </c>
      <c r="F102" s="26">
        <v>16765.45</v>
      </c>
      <c r="G102" s="116">
        <f t="shared" si="1"/>
        <v>-1.3852167084780542E-2</v>
      </c>
    </row>
    <row r="103" spans="2:7" ht="14.25" customHeight="1" x14ac:dyDescent="0.3">
      <c r="B103" s="114">
        <v>45214</v>
      </c>
      <c r="C103" s="26">
        <v>1174.55</v>
      </c>
      <c r="D103" s="116">
        <f t="shared" si="0"/>
        <v>-2.5431463657484277E-2</v>
      </c>
      <c r="F103" s="26">
        <v>17208.75</v>
      </c>
      <c r="G103" s="116">
        <f t="shared" si="1"/>
        <v>2.6441282518512743E-2</v>
      </c>
    </row>
    <row r="104" spans="2:7" ht="14.25" customHeight="1" x14ac:dyDescent="0.3">
      <c r="B104" s="114">
        <v>45207</v>
      </c>
      <c r="C104" s="26">
        <v>1140.8499999999999</v>
      </c>
      <c r="D104" s="116">
        <f t="shared" si="0"/>
        <v>-2.8691839427866017E-2</v>
      </c>
      <c r="F104" s="26">
        <v>17390.349999999999</v>
      </c>
      <c r="G104" s="116">
        <f t="shared" si="1"/>
        <v>1.0552771119343163E-2</v>
      </c>
    </row>
    <row r="105" spans="2:7" ht="14.25" customHeight="1" x14ac:dyDescent="0.3">
      <c r="B105" s="114">
        <v>45200</v>
      </c>
      <c r="C105" s="26">
        <v>1121.45</v>
      </c>
      <c r="D105" s="116">
        <f t="shared" si="0"/>
        <v>-1.7004864793793928E-2</v>
      </c>
      <c r="F105" s="26">
        <v>17293.599999999999</v>
      </c>
      <c r="G105" s="116">
        <f t="shared" si="1"/>
        <v>-5.5634302932373592E-3</v>
      </c>
    </row>
    <row r="106" spans="2:7" ht="14.25" customHeight="1" x14ac:dyDescent="0.3">
      <c r="B106" s="114">
        <v>45193</v>
      </c>
      <c r="C106" s="26">
        <v>1084</v>
      </c>
      <c r="D106" s="116">
        <f t="shared" si="0"/>
        <v>-3.3394266351598367E-2</v>
      </c>
      <c r="F106" s="26">
        <v>17292.599999999999</v>
      </c>
      <c r="G106" s="116">
        <f t="shared" si="1"/>
        <v>-5.7824860063893091E-5</v>
      </c>
    </row>
    <row r="107" spans="2:7" ht="14.25" customHeight="1" x14ac:dyDescent="0.3">
      <c r="B107" s="114">
        <v>45186</v>
      </c>
      <c r="C107" s="27">
        <v>983.4</v>
      </c>
      <c r="D107" s="116">
        <f t="shared" si="0"/>
        <v>-9.2804428044280463E-2</v>
      </c>
      <c r="F107" s="26">
        <v>17260.8</v>
      </c>
      <c r="G107" s="116">
        <f t="shared" si="1"/>
        <v>-1.8389368862981037E-3</v>
      </c>
    </row>
    <row r="108" spans="2:7" ht="14.25" customHeight="1" x14ac:dyDescent="0.3">
      <c r="B108" s="114">
        <v>45179</v>
      </c>
      <c r="C108" s="26">
        <v>1013.85</v>
      </c>
      <c r="D108" s="116">
        <f t="shared" si="0"/>
        <v>3.096400244051245E-2</v>
      </c>
      <c r="F108" s="26">
        <v>17665.8</v>
      </c>
      <c r="G108" s="116">
        <f t="shared" si="1"/>
        <v>2.3463570634037811E-2</v>
      </c>
    </row>
    <row r="109" spans="2:7" ht="14.25" customHeight="1" x14ac:dyDescent="0.3">
      <c r="B109" s="114">
        <v>45172</v>
      </c>
      <c r="C109" s="26">
        <v>1014.25</v>
      </c>
      <c r="D109" s="116">
        <f t="shared" si="0"/>
        <v>3.9453568082059576E-4</v>
      </c>
      <c r="F109" s="26">
        <v>17487.45</v>
      </c>
      <c r="G109" s="116">
        <f t="shared" si="1"/>
        <v>-1.0095778283462864E-2</v>
      </c>
    </row>
    <row r="110" spans="2:7" ht="14.25" customHeight="1" x14ac:dyDescent="0.3">
      <c r="B110" s="114">
        <v>45165</v>
      </c>
      <c r="C110" s="27">
        <v>971.05</v>
      </c>
      <c r="D110" s="116">
        <f t="shared" si="0"/>
        <v>-4.2593049051023013E-2</v>
      </c>
      <c r="F110" s="26">
        <v>17074.55</v>
      </c>
      <c r="G110" s="116">
        <f t="shared" si="1"/>
        <v>-2.3611218330860217E-2</v>
      </c>
    </row>
    <row r="111" spans="2:7" ht="14.25" customHeight="1" x14ac:dyDescent="0.3"/>
    <row r="112" spans="2:7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B6:D110" xr:uid="{00000000-0009-0000-0000-000007000000}"/>
  <mergeCells count="2">
    <mergeCell ref="B4:D4"/>
    <mergeCell ref="F4:H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1:G1000"/>
  <sheetViews>
    <sheetView workbookViewId="0">
      <selection activeCell="D23" sqref="D23"/>
    </sheetView>
  </sheetViews>
  <sheetFormatPr defaultColWidth="14.44140625" defaultRowHeight="15" customHeight="1" x14ac:dyDescent="0.3"/>
  <cols>
    <col min="1" max="2" width="8.6640625" customWidth="1"/>
    <col min="3" max="3" width="14.5546875" customWidth="1"/>
    <col min="4" max="4" width="18.88671875" customWidth="1"/>
    <col min="5" max="5" width="83.44140625" customWidth="1"/>
    <col min="6" max="6" width="35.109375" bestFit="1" customWidth="1"/>
    <col min="7" max="7" width="23.33203125" customWidth="1"/>
    <col min="8" max="26" width="8.6640625" customWidth="1"/>
  </cols>
  <sheetData>
    <row r="1" spans="3:7" ht="14.25" customHeight="1" x14ac:dyDescent="0.3"/>
    <row r="2" spans="3:7" ht="14.25" customHeight="1" x14ac:dyDescent="0.3">
      <c r="C2" s="252" t="s">
        <v>171</v>
      </c>
      <c r="D2" s="245"/>
      <c r="E2" s="245"/>
      <c r="F2" s="245"/>
      <c r="G2" s="240"/>
    </row>
    <row r="3" spans="3:7" ht="14.25" customHeight="1" x14ac:dyDescent="0.3">
      <c r="C3" s="118" t="s">
        <v>145</v>
      </c>
      <c r="D3" s="118" t="s">
        <v>172</v>
      </c>
      <c r="E3" s="118" t="s">
        <v>173</v>
      </c>
      <c r="F3" s="119" t="s">
        <v>276</v>
      </c>
      <c r="G3" s="119" t="s">
        <v>174</v>
      </c>
    </row>
    <row r="4" spans="3:7" ht="14.25" customHeight="1" x14ac:dyDescent="0.3">
      <c r="C4" s="19" t="s">
        <v>175</v>
      </c>
      <c r="D4" s="120">
        <f>(F4*G4)</f>
        <v>181999650000</v>
      </c>
      <c r="E4" s="121">
        <f>D4/D6</f>
        <v>0.99997912127489896</v>
      </c>
      <c r="F4" s="8">
        <v>1733.33</v>
      </c>
      <c r="G4" s="120">
        <v>105000000</v>
      </c>
    </row>
    <row r="5" spans="3:7" ht="14.25" customHeight="1" x14ac:dyDescent="0.3">
      <c r="C5" s="19" t="s">
        <v>176</v>
      </c>
      <c r="D5" s="120">
        <f>3800000</f>
        <v>3800000</v>
      </c>
      <c r="E5" s="121">
        <f>D5/D6</f>
        <v>2.0878725101090118E-5</v>
      </c>
    </row>
    <row r="6" spans="3:7" ht="14.25" customHeight="1" x14ac:dyDescent="0.3">
      <c r="C6" s="122" t="s">
        <v>177</v>
      </c>
      <c r="D6" s="120">
        <f>D4+D5</f>
        <v>182003450000</v>
      </c>
      <c r="E6" s="8"/>
    </row>
    <row r="7" spans="3:7" ht="14.25" customHeight="1" x14ac:dyDescent="0.3"/>
    <row r="8" spans="3:7" ht="14.25" customHeight="1" x14ac:dyDescent="0.3"/>
    <row r="9" spans="3:7" ht="14.25" customHeight="1" x14ac:dyDescent="0.3">
      <c r="C9" s="252" t="s">
        <v>178</v>
      </c>
      <c r="D9" s="245"/>
      <c r="E9" s="240"/>
    </row>
    <row r="10" spans="3:7" ht="14.25" customHeight="1" x14ac:dyDescent="0.3">
      <c r="C10" s="118" t="s">
        <v>145</v>
      </c>
      <c r="D10" s="118" t="s">
        <v>172</v>
      </c>
      <c r="E10" s="118" t="s">
        <v>179</v>
      </c>
    </row>
    <row r="11" spans="3:7" ht="14.25" customHeight="1" x14ac:dyDescent="0.3">
      <c r="C11" s="19" t="s">
        <v>180</v>
      </c>
      <c r="D11" s="123">
        <f>Beta!J8</f>
        <v>6.5000000000000002E-2</v>
      </c>
      <c r="E11" s="124" t="s">
        <v>181</v>
      </c>
    </row>
    <row r="12" spans="3:7" ht="14.25" customHeight="1" x14ac:dyDescent="0.3">
      <c r="C12" s="19" t="s">
        <v>182</v>
      </c>
      <c r="D12" s="125">
        <f>Beta!J7</f>
        <v>0.12727137768504537</v>
      </c>
      <c r="E12" s="126" t="s">
        <v>183</v>
      </c>
    </row>
    <row r="13" spans="3:7" ht="14.25" customHeight="1" x14ac:dyDescent="0.3">
      <c r="C13" s="19" t="s">
        <v>17</v>
      </c>
      <c r="D13" s="87">
        <f>Beta!J6</f>
        <v>1.1810699572775178</v>
      </c>
      <c r="E13" s="124" t="s">
        <v>184</v>
      </c>
    </row>
    <row r="14" spans="3:7" ht="14.25" customHeight="1" x14ac:dyDescent="0.3">
      <c r="C14" s="122" t="s">
        <v>185</v>
      </c>
      <c r="D14" s="123">
        <f>D11+D13*(D12-D11)</f>
        <v>0.13854685338208872</v>
      </c>
      <c r="E14" s="127" t="s">
        <v>186</v>
      </c>
    </row>
    <row r="15" spans="3:7" ht="14.25" customHeight="1" x14ac:dyDescent="0.3"/>
    <row r="16" spans="3:7" ht="14.25" customHeight="1" x14ac:dyDescent="0.3"/>
    <row r="17" spans="3:5" ht="14.25" customHeight="1" x14ac:dyDescent="0.3">
      <c r="C17" s="252" t="s">
        <v>187</v>
      </c>
      <c r="D17" s="245"/>
      <c r="E17" s="240"/>
    </row>
    <row r="18" spans="3:5" ht="14.25" customHeight="1" x14ac:dyDescent="0.3">
      <c r="C18" s="118" t="s">
        <v>145</v>
      </c>
      <c r="D18" s="118" t="s">
        <v>172</v>
      </c>
      <c r="E18" s="118" t="s">
        <v>179</v>
      </c>
    </row>
    <row r="19" spans="3:5" ht="14.25" customHeight="1" x14ac:dyDescent="0.3">
      <c r="C19" s="19" t="s">
        <v>188</v>
      </c>
      <c r="D19" s="125">
        <v>8.5000000000000006E-2</v>
      </c>
      <c r="E19" s="8" t="s">
        <v>189</v>
      </c>
    </row>
    <row r="20" spans="3:5" ht="14.25" customHeight="1" x14ac:dyDescent="0.3">
      <c r="C20" s="19" t="s">
        <v>190</v>
      </c>
      <c r="D20" s="128">
        <v>0.25</v>
      </c>
      <c r="E20" s="8" t="s">
        <v>191</v>
      </c>
    </row>
    <row r="21" spans="3:5" ht="14.25" customHeight="1" x14ac:dyDescent="0.3">
      <c r="C21" s="122" t="s">
        <v>192</v>
      </c>
      <c r="D21" s="123">
        <f>D19*(1-D20)</f>
        <v>6.3750000000000001E-2</v>
      </c>
      <c r="E21" s="8"/>
    </row>
    <row r="22" spans="3:5" ht="14.25" customHeight="1" x14ac:dyDescent="0.3"/>
    <row r="23" spans="3:5" ht="14.25" customHeight="1" x14ac:dyDescent="0.3">
      <c r="C23" s="110" t="s">
        <v>19</v>
      </c>
      <c r="D23" s="129">
        <f>D14*E4+E5*D21</f>
        <v>0.13854529171914853</v>
      </c>
    </row>
    <row r="24" spans="3:5" ht="14.25" customHeight="1" x14ac:dyDescent="0.3"/>
    <row r="25" spans="3:5" ht="14.25" customHeight="1" x14ac:dyDescent="0.3"/>
    <row r="26" spans="3:5" ht="14.25" customHeight="1" x14ac:dyDescent="0.3"/>
    <row r="27" spans="3:5" ht="14.25" customHeight="1" x14ac:dyDescent="0.3"/>
    <row r="28" spans="3:5" ht="14.25" customHeight="1" x14ac:dyDescent="0.3"/>
    <row r="29" spans="3:5" ht="14.25" customHeight="1" x14ac:dyDescent="0.3"/>
    <row r="30" spans="3:5" ht="14.25" customHeight="1" x14ac:dyDescent="0.3"/>
    <row r="31" spans="3:5" ht="14.25" customHeight="1" x14ac:dyDescent="0.3"/>
    <row r="32" spans="3:5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3">
    <mergeCell ref="C2:G2"/>
    <mergeCell ref="C9:E9"/>
    <mergeCell ref="C17:E17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1:L1000"/>
  <sheetViews>
    <sheetView workbookViewId="0">
      <selection activeCell="D16" sqref="D16"/>
    </sheetView>
  </sheetViews>
  <sheetFormatPr defaultColWidth="14.44140625" defaultRowHeight="15" customHeight="1" x14ac:dyDescent="0.3"/>
  <cols>
    <col min="1" max="2" width="8.6640625" customWidth="1"/>
    <col min="3" max="3" width="38.33203125" customWidth="1"/>
    <col min="4" max="4" width="11.88671875" customWidth="1"/>
    <col min="5" max="6" width="9.88671875" customWidth="1"/>
    <col min="7" max="7" width="10.44140625" customWidth="1"/>
    <col min="8" max="8" width="10.6640625" customWidth="1"/>
    <col min="9" max="9" width="11.5546875" customWidth="1"/>
    <col min="10" max="11" width="8.6640625" customWidth="1"/>
    <col min="12" max="12" width="10.44140625" bestFit="1" customWidth="1"/>
    <col min="13" max="26" width="8.6640625" customWidth="1"/>
  </cols>
  <sheetData>
    <row r="1" spans="3:12" ht="14.25" customHeight="1" x14ac:dyDescent="0.3"/>
    <row r="2" spans="3:12" ht="14.25" customHeight="1" x14ac:dyDescent="0.3"/>
    <row r="3" spans="3:12" ht="14.25" customHeight="1" x14ac:dyDescent="0.3">
      <c r="C3" s="253" t="s">
        <v>193</v>
      </c>
      <c r="D3" s="242"/>
      <c r="E3" s="242"/>
      <c r="F3" s="242"/>
      <c r="G3" s="242"/>
      <c r="H3" s="242"/>
    </row>
    <row r="4" spans="3:12" ht="14.25" customHeight="1" x14ac:dyDescent="0.3">
      <c r="C4" s="27" t="s">
        <v>37</v>
      </c>
      <c r="D4" s="39">
        <v>46082</v>
      </c>
      <c r="E4" s="39">
        <v>46447</v>
      </c>
      <c r="F4" s="39">
        <v>46813</v>
      </c>
      <c r="G4" s="39">
        <v>47178</v>
      </c>
      <c r="H4" s="39">
        <v>47543</v>
      </c>
    </row>
    <row r="5" spans="3:12" ht="14.25" customHeight="1" x14ac:dyDescent="0.3">
      <c r="C5" s="130" t="s">
        <v>194</v>
      </c>
      <c r="D5" s="131">
        <f>'Profit and Loss forecast'!G36</f>
        <v>592.14448848160555</v>
      </c>
      <c r="E5" s="131">
        <f>'Profit and Loss forecast'!H36</f>
        <v>708.51075159422771</v>
      </c>
      <c r="F5" s="131">
        <f>'Profit and Loss forecast'!I36</f>
        <v>872.21244091007861</v>
      </c>
      <c r="G5" s="131">
        <f>'Profit and Loss forecast'!J36</f>
        <v>1063.9105243827062</v>
      </c>
      <c r="H5" s="131">
        <f>'Profit and Loss forecast'!K36</f>
        <v>1315.322719152452</v>
      </c>
    </row>
    <row r="6" spans="3:12" ht="14.25" customHeight="1" x14ac:dyDescent="0.3">
      <c r="C6" s="130" t="s">
        <v>195</v>
      </c>
      <c r="D6" s="131">
        <f>'Profit and Loss forecast'!G37</f>
        <v>150.07361945655185</v>
      </c>
      <c r="E6" s="131">
        <f>'Profit and Loss forecast'!H37</f>
        <v>179.56558742660775</v>
      </c>
      <c r="F6" s="131">
        <f>'Profit and Loss forecast'!I37</f>
        <v>221.05428740552321</v>
      </c>
      <c r="G6" s="131">
        <f>'Profit and Loss forecast'!J37</f>
        <v>269.63841811894298</v>
      </c>
      <c r="H6" s="131">
        <f>'Profit and Loss forecast'!K37</f>
        <v>333.35654566811701</v>
      </c>
    </row>
    <row r="7" spans="3:12" ht="14.25" customHeight="1" x14ac:dyDescent="0.3">
      <c r="C7" s="132" t="s">
        <v>196</v>
      </c>
      <c r="D7" s="133">
        <f t="shared" ref="D7:H7" si="0">D5-D6</f>
        <v>442.0708690250537</v>
      </c>
      <c r="E7" s="133">
        <f t="shared" si="0"/>
        <v>528.94516416761996</v>
      </c>
      <c r="F7" s="133">
        <f t="shared" si="0"/>
        <v>651.15815350455546</v>
      </c>
      <c r="G7" s="133">
        <f t="shared" si="0"/>
        <v>794.27210626376313</v>
      </c>
      <c r="H7" s="133">
        <f t="shared" si="0"/>
        <v>981.96617348433506</v>
      </c>
    </row>
    <row r="8" spans="3:12" ht="14.25" customHeight="1" x14ac:dyDescent="0.3">
      <c r="C8" s="130" t="s">
        <v>197</v>
      </c>
      <c r="D8" s="120">
        <f>'Profit and Loss forecast'!G30</f>
        <v>78.87244209526699</v>
      </c>
      <c r="E8" s="120">
        <f>'Profit and Loss forecast'!H30</f>
        <v>96.224379356225725</v>
      </c>
      <c r="F8" s="120">
        <f>'Profit and Loss forecast'!I30</f>
        <v>118.35598660815764</v>
      </c>
      <c r="G8" s="120">
        <f>'Profit and Loss forecast'!J30</f>
        <v>145.57786352803387</v>
      </c>
      <c r="H8" s="120">
        <f>'Profit and Loss forecast'!K30</f>
        <v>180.51655077476201</v>
      </c>
    </row>
    <row r="9" spans="3:12" ht="14.25" customHeight="1" x14ac:dyDescent="0.3">
      <c r="C9" s="130" t="s">
        <v>198</v>
      </c>
      <c r="D9" s="87">
        <f>'Working capital and Capex'!G19</f>
        <v>448.4261252702795</v>
      </c>
      <c r="E9" s="87">
        <f>'Working capital and Capex'!H19</f>
        <v>364.83451965472818</v>
      </c>
      <c r="F9" s="87">
        <f>'Working capital and Capex'!I19</f>
        <v>460.95601100706608</v>
      </c>
      <c r="G9" s="87">
        <f>'Working capital and Capex'!J19</f>
        <v>566.97589353869103</v>
      </c>
      <c r="H9" s="87">
        <f>'Working capital and Capex'!K19</f>
        <v>721.37176146670117</v>
      </c>
    </row>
    <row r="10" spans="3:12" ht="14.25" customHeight="1" x14ac:dyDescent="0.3">
      <c r="C10" s="130" t="s">
        <v>199</v>
      </c>
      <c r="D10" s="131">
        <f>'Working capital and Capex'!G8</f>
        <v>-73.512437021547157</v>
      </c>
      <c r="E10" s="131">
        <f>'Working capital and Capex'!H8</f>
        <v>131.91377974996612</v>
      </c>
      <c r="F10" s="131">
        <f>'Working capital and Capex'!I8</f>
        <v>162.24396341234547</v>
      </c>
      <c r="G10" s="131">
        <f>'Working capital and Capex'!J8</f>
        <v>203.35468694064912</v>
      </c>
      <c r="H10" s="131">
        <f>'Working capital and Capex'!K8</f>
        <v>258.89006344171139</v>
      </c>
    </row>
    <row r="11" spans="3:12" ht="14.25" customHeight="1" x14ac:dyDescent="0.3">
      <c r="C11" s="134" t="s">
        <v>200</v>
      </c>
      <c r="D11" s="135">
        <f t="shared" ref="D11:H11" si="1">D7+D8-D9-D10</f>
        <v>146.02962287158834</v>
      </c>
      <c r="E11" s="135">
        <f t="shared" si="1"/>
        <v>128.42124411915142</v>
      </c>
      <c r="F11" s="135">
        <f t="shared" si="1"/>
        <v>146.31416569330156</v>
      </c>
      <c r="G11" s="135">
        <f t="shared" si="1"/>
        <v>169.51938931245684</v>
      </c>
      <c r="H11" s="135">
        <f t="shared" si="1"/>
        <v>182.22089935068448</v>
      </c>
    </row>
    <row r="12" spans="3:12" ht="14.25" customHeight="1" x14ac:dyDescent="0.3"/>
    <row r="13" spans="3:12" ht="14.25" customHeight="1" x14ac:dyDescent="0.3"/>
    <row r="14" spans="3:12" ht="14.25" customHeight="1" x14ac:dyDescent="0.3">
      <c r="C14" s="254" t="s">
        <v>201</v>
      </c>
      <c r="D14" s="255"/>
      <c r="E14" s="255"/>
      <c r="F14" s="255"/>
      <c r="I14" s="258" t="s">
        <v>202</v>
      </c>
      <c r="J14" s="259"/>
      <c r="K14" s="259"/>
      <c r="L14" s="136">
        <v>1733.33</v>
      </c>
    </row>
    <row r="15" spans="3:12" ht="14.25" customHeight="1" x14ac:dyDescent="0.3">
      <c r="C15" s="256"/>
      <c r="D15" s="257"/>
      <c r="E15" s="257"/>
      <c r="F15" s="257"/>
      <c r="I15" s="260" t="s">
        <v>203</v>
      </c>
      <c r="J15" s="242"/>
      <c r="K15" s="242"/>
      <c r="L15" s="137">
        <f>D25</f>
        <v>145.5522271499409</v>
      </c>
    </row>
    <row r="16" spans="3:12" ht="14.25" customHeight="1" x14ac:dyDescent="0.3">
      <c r="C16" s="130" t="s">
        <v>19</v>
      </c>
      <c r="D16" s="123">
        <f>WACC!D23</f>
        <v>0.13854529171914853</v>
      </c>
      <c r="I16" s="261" t="s">
        <v>204</v>
      </c>
      <c r="J16" s="262"/>
      <c r="K16" s="262"/>
      <c r="L16" s="138">
        <f>(L15-L14)/L14</f>
        <v>-0.91602739977387992</v>
      </c>
    </row>
    <row r="17" spans="3:4" ht="14.25" customHeight="1" x14ac:dyDescent="0.3">
      <c r="C17" s="139" t="s">
        <v>205</v>
      </c>
      <c r="D17" s="140">
        <f t="array" ref="D17">NPV(D16,D11:H11)</f>
        <v>522.59441028489141</v>
      </c>
    </row>
    <row r="18" spans="3:4" ht="14.25" customHeight="1" x14ac:dyDescent="0.3">
      <c r="C18" s="139" t="s">
        <v>206</v>
      </c>
      <c r="D18" s="128">
        <v>0.04</v>
      </c>
    </row>
    <row r="19" spans="3:4" ht="14.25" customHeight="1" x14ac:dyDescent="0.3">
      <c r="C19" s="139" t="s">
        <v>207</v>
      </c>
      <c r="D19" s="120">
        <f>H11*(1+D18)/(D16-D18)</f>
        <v>1923.0724473860162</v>
      </c>
    </row>
    <row r="20" spans="3:4" ht="14.25" customHeight="1" x14ac:dyDescent="0.3">
      <c r="C20" s="139" t="s">
        <v>208</v>
      </c>
      <c r="D20" s="140">
        <f>D19/(1+D16)^5</f>
        <v>1005.1805747894881</v>
      </c>
    </row>
    <row r="21" spans="3:4" ht="14.25" customHeight="1" x14ac:dyDescent="0.3">
      <c r="C21" s="141" t="s">
        <v>209</v>
      </c>
      <c r="D21" s="140">
        <f>D20+D17</f>
        <v>1527.7749850743794</v>
      </c>
    </row>
    <row r="22" spans="3:4" ht="14.25" customHeight="1" x14ac:dyDescent="0.3">
      <c r="C22" s="139" t="s">
        <v>210</v>
      </c>
      <c r="D22" s="131">
        <f>Balancesheet!F37+Balancesheet!F44-Balancesheet!F23</f>
        <v>-0.52340000000000009</v>
      </c>
    </row>
    <row r="23" spans="3:4" ht="14.25" customHeight="1" x14ac:dyDescent="0.3">
      <c r="C23" s="141" t="s">
        <v>211</v>
      </c>
      <c r="D23" s="140">
        <f>D21-D22</f>
        <v>1528.2983850743794</v>
      </c>
    </row>
    <row r="24" spans="3:4" ht="14.25" customHeight="1" x14ac:dyDescent="0.3">
      <c r="C24" s="139" t="s">
        <v>212</v>
      </c>
      <c r="D24" s="8">
        <f>105000000/10000000</f>
        <v>10.5</v>
      </c>
    </row>
    <row r="25" spans="3:4" ht="14.25" customHeight="1" x14ac:dyDescent="0.3">
      <c r="C25" s="141" t="s">
        <v>213</v>
      </c>
      <c r="D25" s="140">
        <f>D23/D24</f>
        <v>145.5522271499409</v>
      </c>
    </row>
    <row r="26" spans="3:4" ht="14.25" customHeight="1" x14ac:dyDescent="0.3"/>
    <row r="27" spans="3:4" ht="14.25" customHeight="1" x14ac:dyDescent="0.3"/>
    <row r="28" spans="3:4" ht="14.25" customHeight="1" x14ac:dyDescent="0.3"/>
    <row r="29" spans="3:4" ht="14.25" customHeight="1" x14ac:dyDescent="0.3"/>
    <row r="30" spans="3:4" ht="14.25" customHeight="1" x14ac:dyDescent="0.3"/>
    <row r="31" spans="3:4" ht="14.25" customHeight="1" x14ac:dyDescent="0.3"/>
    <row r="32" spans="3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5">
    <mergeCell ref="C3:H3"/>
    <mergeCell ref="C14:F15"/>
    <mergeCell ref="I14:K14"/>
    <mergeCell ref="I15:K15"/>
    <mergeCell ref="I16:K16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000"/>
  <sheetViews>
    <sheetView topLeftCell="B1" zoomScale="80" workbookViewId="0">
      <selection activeCell="L30" sqref="L30"/>
    </sheetView>
  </sheetViews>
  <sheetFormatPr defaultColWidth="14.44140625" defaultRowHeight="15" customHeight="1" x14ac:dyDescent="0.3"/>
  <cols>
    <col min="1" max="1" width="8.6640625" customWidth="1"/>
    <col min="2" max="2" width="20.6640625" customWidth="1"/>
    <col min="3" max="3" width="16.33203125" customWidth="1"/>
    <col min="4" max="4" width="15.109375" customWidth="1"/>
    <col min="5" max="5" width="10.88671875" customWidth="1"/>
    <col min="6" max="6" width="10.5546875" customWidth="1"/>
    <col min="7" max="7" width="23.88671875" customWidth="1"/>
    <col min="8" max="9" width="8.6640625" customWidth="1"/>
    <col min="10" max="10" width="11.6640625" customWidth="1"/>
    <col min="11" max="11" width="12.6640625" customWidth="1"/>
    <col min="12" max="12" width="21.88671875" customWidth="1"/>
    <col min="13" max="13" width="10.33203125" customWidth="1"/>
    <col min="14" max="14" width="13.88671875" customWidth="1"/>
    <col min="15" max="15" width="17.33203125" customWidth="1"/>
    <col min="16" max="16" width="13.6640625" customWidth="1"/>
    <col min="17" max="17" width="11.33203125" bestFit="1" customWidth="1"/>
    <col min="18" max="27" width="8.6640625" customWidth="1"/>
  </cols>
  <sheetData>
    <row r="1" spans="1:17" ht="14.25" customHeight="1" x14ac:dyDescent="0.3">
      <c r="A1" s="142"/>
      <c r="B1" s="263" t="s">
        <v>214</v>
      </c>
      <c r="C1" s="255"/>
      <c r="D1" s="255"/>
      <c r="E1" s="143"/>
      <c r="F1" s="143"/>
      <c r="G1" s="143"/>
      <c r="H1" s="143"/>
      <c r="I1" s="142"/>
      <c r="J1" s="142"/>
      <c r="K1" s="142"/>
      <c r="L1" s="142"/>
      <c r="M1" s="142"/>
      <c r="N1" s="142"/>
      <c r="O1" s="142"/>
      <c r="P1" s="142"/>
    </row>
    <row r="2" spans="1:17" ht="14.25" customHeight="1" x14ac:dyDescent="0.3">
      <c r="A2" s="142"/>
      <c r="B2" s="264"/>
      <c r="C2" s="257"/>
      <c r="D2" s="257"/>
      <c r="E2" s="143"/>
      <c r="F2" s="143"/>
      <c r="G2" s="143"/>
      <c r="H2" s="143"/>
      <c r="I2" s="142"/>
      <c r="J2" s="142"/>
      <c r="K2" s="142"/>
      <c r="L2" s="142"/>
      <c r="M2" s="142"/>
      <c r="N2" s="142"/>
      <c r="O2" s="142"/>
      <c r="P2" s="142"/>
    </row>
    <row r="3" spans="1:17" ht="14.25" customHeight="1" x14ac:dyDescent="0.3">
      <c r="A3" s="142"/>
      <c r="B3" s="144"/>
      <c r="C3" s="144"/>
      <c r="D3" s="144"/>
      <c r="E3" s="144"/>
      <c r="F3" s="144"/>
      <c r="G3" s="142"/>
      <c r="H3" s="142"/>
      <c r="I3" s="221"/>
      <c r="J3" s="221"/>
      <c r="K3" s="221"/>
      <c r="L3" s="221"/>
      <c r="M3" s="145"/>
      <c r="N3" s="221"/>
      <c r="O3" s="221"/>
      <c r="P3" s="221"/>
      <c r="Q3" s="222"/>
    </row>
    <row r="4" spans="1:17" ht="14.25" customHeight="1" x14ac:dyDescent="0.3">
      <c r="A4" s="146"/>
      <c r="B4" s="265" t="s">
        <v>215</v>
      </c>
      <c r="C4" s="267" t="s">
        <v>216</v>
      </c>
      <c r="D4" s="262"/>
      <c r="E4" s="262"/>
      <c r="F4" s="262"/>
      <c r="G4" s="147"/>
      <c r="H4" s="142"/>
      <c r="I4" s="271" t="s">
        <v>217</v>
      </c>
      <c r="J4" s="272"/>
      <c r="K4" s="272"/>
      <c r="L4" s="273"/>
      <c r="M4" s="221"/>
      <c r="N4" s="274" t="s">
        <v>218</v>
      </c>
      <c r="O4" s="275"/>
      <c r="P4" s="275"/>
      <c r="Q4" s="275"/>
    </row>
    <row r="5" spans="1:17" ht="14.25" customHeight="1" x14ac:dyDescent="0.3">
      <c r="A5" s="146"/>
      <c r="B5" s="266"/>
      <c r="C5" s="148" t="s">
        <v>166</v>
      </c>
      <c r="D5" s="148" t="s">
        <v>219</v>
      </c>
      <c r="E5" s="148" t="s">
        <v>220</v>
      </c>
      <c r="F5" s="149" t="s">
        <v>221</v>
      </c>
      <c r="G5" s="150" t="s">
        <v>222</v>
      </c>
      <c r="H5" s="146"/>
      <c r="I5" s="148" t="s">
        <v>223</v>
      </c>
      <c r="J5" s="148" t="s">
        <v>224</v>
      </c>
      <c r="K5" s="148" t="s">
        <v>225</v>
      </c>
      <c r="L5" s="148" t="s">
        <v>226</v>
      </c>
      <c r="M5" s="146"/>
      <c r="N5" s="148" t="s">
        <v>227</v>
      </c>
      <c r="O5" s="149" t="s">
        <v>228</v>
      </c>
      <c r="P5" s="223" t="s">
        <v>229</v>
      </c>
      <c r="Q5" s="223" t="s">
        <v>230</v>
      </c>
    </row>
    <row r="6" spans="1:17" ht="14.25" customHeight="1" x14ac:dyDescent="0.3">
      <c r="A6" s="146"/>
      <c r="B6" s="266"/>
      <c r="C6" s="151" t="s">
        <v>231</v>
      </c>
      <c r="D6" s="151" t="s">
        <v>232</v>
      </c>
      <c r="E6" s="151" t="s">
        <v>232</v>
      </c>
      <c r="F6" s="152" t="s">
        <v>232</v>
      </c>
      <c r="G6" s="153"/>
      <c r="H6" s="146"/>
      <c r="I6" s="151" t="s">
        <v>232</v>
      </c>
      <c r="J6" s="151" t="s">
        <v>232</v>
      </c>
      <c r="K6" s="151" t="s">
        <v>232</v>
      </c>
      <c r="L6" s="154" t="s">
        <v>232</v>
      </c>
      <c r="M6" s="146"/>
      <c r="N6" s="151"/>
      <c r="O6" s="226"/>
      <c r="P6" s="228"/>
      <c r="Q6" s="228"/>
    </row>
    <row r="7" spans="1:17" ht="14.25" customHeight="1" x14ac:dyDescent="0.3">
      <c r="A7" s="142"/>
      <c r="B7" s="155" t="s">
        <v>24</v>
      </c>
      <c r="C7" s="155">
        <v>1733.33</v>
      </c>
      <c r="D7" s="156" t="s">
        <v>233</v>
      </c>
      <c r="E7" s="279">
        <f>DCF!D22</f>
        <v>-0.52340000000000009</v>
      </c>
      <c r="F7" s="156" t="s">
        <v>234</v>
      </c>
      <c r="G7" s="157">
        <v>10.5</v>
      </c>
      <c r="H7" s="158"/>
      <c r="I7" s="155">
        <v>1188.27</v>
      </c>
      <c r="J7" s="155">
        <v>527.92999999999995</v>
      </c>
      <c r="K7" s="155">
        <v>356.11</v>
      </c>
      <c r="L7" s="159">
        <v>173.27</v>
      </c>
      <c r="M7" s="158"/>
      <c r="N7" s="160">
        <v>15.27</v>
      </c>
      <c r="O7" s="161">
        <v>33.659999999999997</v>
      </c>
      <c r="P7" s="227" t="s">
        <v>235</v>
      </c>
      <c r="Q7" s="230">
        <v>9.7100000000000009</v>
      </c>
    </row>
    <row r="8" spans="1:17" ht="14.25" customHeight="1" x14ac:dyDescent="0.3">
      <c r="B8" s="163" t="s">
        <v>236</v>
      </c>
      <c r="C8" s="164">
        <v>1642.9</v>
      </c>
      <c r="D8" s="165" t="s">
        <v>237</v>
      </c>
      <c r="E8" s="164">
        <v>2362.19</v>
      </c>
      <c r="F8" s="164">
        <v>385337.51</v>
      </c>
      <c r="G8" s="166">
        <v>239.93</v>
      </c>
      <c r="I8" s="164">
        <v>53777.09</v>
      </c>
      <c r="J8" s="164">
        <v>17253.13</v>
      </c>
      <c r="K8" s="164">
        <v>14677.74</v>
      </c>
      <c r="L8" s="167">
        <v>300.99</v>
      </c>
      <c r="N8" s="168">
        <f>F8/I8</f>
        <v>7.1654585623729368</v>
      </c>
      <c r="O8" s="168">
        <f>F8/J8</f>
        <v>22.334353824494453</v>
      </c>
      <c r="P8" s="168">
        <v>34.369999999999997</v>
      </c>
      <c r="Q8" s="229">
        <v>5.3</v>
      </c>
    </row>
    <row r="9" spans="1:17" ht="14.25" customHeight="1" x14ac:dyDescent="0.3">
      <c r="B9" s="163" t="s">
        <v>238</v>
      </c>
      <c r="C9" s="169">
        <v>990</v>
      </c>
      <c r="D9" s="165" t="s">
        <v>239</v>
      </c>
      <c r="E9" s="170">
        <v>3213.2</v>
      </c>
      <c r="F9" s="165" t="s">
        <v>240</v>
      </c>
      <c r="G9" s="27">
        <v>100.62</v>
      </c>
      <c r="I9" s="164">
        <v>23607.7</v>
      </c>
      <c r="J9" s="170">
        <v>7293.5</v>
      </c>
      <c r="K9" s="170">
        <v>6377.7</v>
      </c>
      <c r="L9" s="167">
        <v>238.05</v>
      </c>
      <c r="N9" s="168">
        <v>0.42009640920000002</v>
      </c>
      <c r="O9" s="168">
        <v>13.6721066703</v>
      </c>
      <c r="P9" s="171" t="s">
        <v>241</v>
      </c>
      <c r="Q9" s="229">
        <v>4.12</v>
      </c>
    </row>
    <row r="10" spans="1:17" ht="14.25" customHeight="1" x14ac:dyDescent="0.3">
      <c r="B10" s="163" t="s">
        <v>242</v>
      </c>
      <c r="C10" s="169">
        <v>2610</v>
      </c>
      <c r="D10" s="169">
        <v>107701.49</v>
      </c>
      <c r="E10" s="169">
        <v>8511.4500000000007</v>
      </c>
      <c r="F10" s="169">
        <v>115658.44</v>
      </c>
      <c r="G10" s="172">
        <v>41.27</v>
      </c>
      <c r="I10" s="169">
        <v>12925.02</v>
      </c>
      <c r="J10" s="169">
        <v>3247.31</v>
      </c>
      <c r="K10" s="173">
        <v>2626.09</v>
      </c>
      <c r="L10" s="167">
        <v>347.39</v>
      </c>
      <c r="N10" s="168">
        <f t="shared" ref="N10:N11" si="0">F10/I10</f>
        <v>8.9484147800158134</v>
      </c>
      <c r="O10" s="168">
        <f t="shared" ref="O10:O11" si="1">F10/J10</f>
        <v>35.616691969661041</v>
      </c>
      <c r="P10" s="171">
        <v>56.9</v>
      </c>
      <c r="Q10" s="229">
        <v>7.11</v>
      </c>
    </row>
    <row r="11" spans="1:17" ht="14.25" customHeight="1" x14ac:dyDescent="0.3">
      <c r="B11" s="163" t="s">
        <v>243</v>
      </c>
      <c r="C11" s="164">
        <v>1591.1</v>
      </c>
      <c r="D11" s="165" t="s">
        <v>244</v>
      </c>
      <c r="E11" s="170">
        <v>438.19</v>
      </c>
      <c r="F11" s="170">
        <v>128297.42</v>
      </c>
      <c r="G11" s="27">
        <v>80.78</v>
      </c>
      <c r="I11" s="170">
        <v>27811.15</v>
      </c>
      <c r="J11" s="170">
        <v>7820.56</v>
      </c>
      <c r="K11" s="170">
        <v>6713.61</v>
      </c>
      <c r="L11" s="167">
        <v>386.24</v>
      </c>
      <c r="N11" s="168">
        <f t="shared" si="0"/>
        <v>4.6131648637327114</v>
      </c>
      <c r="O11" s="168">
        <f t="shared" si="1"/>
        <v>16.405144900109455</v>
      </c>
      <c r="P11" s="168">
        <v>23.86</v>
      </c>
      <c r="Q11" s="229">
        <v>4.12</v>
      </c>
    </row>
    <row r="12" spans="1:17" ht="14.25" customHeight="1" x14ac:dyDescent="0.3">
      <c r="Q12" s="232"/>
    </row>
    <row r="13" spans="1:17" ht="14.25" customHeight="1" x14ac:dyDescent="0.3">
      <c r="B13" s="174" t="s">
        <v>245</v>
      </c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5">
        <f t="shared" ref="N13:Q13" si="2">MAX(N7:N11)</f>
        <v>15.27</v>
      </c>
      <c r="O13" s="176">
        <f t="shared" si="2"/>
        <v>35.616691969661041</v>
      </c>
      <c r="P13" s="176">
        <f t="shared" si="2"/>
        <v>56.9</v>
      </c>
      <c r="Q13" s="231">
        <f t="shared" si="2"/>
        <v>9.7100000000000009</v>
      </c>
    </row>
    <row r="14" spans="1:17" ht="14.25" customHeight="1" x14ac:dyDescent="0.3">
      <c r="B14" s="174" t="s">
        <v>246</v>
      </c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6">
        <f t="shared" ref="N14:Q14" si="3">QUARTILE(N7:N11,3)</f>
        <v>8.9484147800158134</v>
      </c>
      <c r="O14" s="176">
        <f t="shared" si="3"/>
        <v>33.659999999999997</v>
      </c>
      <c r="P14" s="176">
        <f t="shared" si="3"/>
        <v>45.634999999999998</v>
      </c>
      <c r="Q14" s="176">
        <f t="shared" si="3"/>
        <v>7.11</v>
      </c>
    </row>
    <row r="15" spans="1:17" ht="14.25" customHeight="1" x14ac:dyDescent="0.3">
      <c r="B15" s="177" t="s">
        <v>247</v>
      </c>
      <c r="C15" s="177"/>
      <c r="D15" s="177"/>
      <c r="E15" s="177"/>
      <c r="F15" s="177"/>
      <c r="G15" s="177"/>
      <c r="H15" s="177"/>
      <c r="I15" s="177"/>
      <c r="J15" s="177"/>
      <c r="K15" s="177"/>
      <c r="L15" s="177"/>
      <c r="M15" s="177"/>
      <c r="N15" s="178">
        <f t="shared" ref="N15:Q15" si="4">AVERAGE(N7:N11)</f>
        <v>7.2834269230642921</v>
      </c>
      <c r="O15" s="179">
        <f t="shared" si="4"/>
        <v>24.337659472912993</v>
      </c>
      <c r="P15" s="179">
        <f t="shared" si="4"/>
        <v>38.376666666666665</v>
      </c>
      <c r="Q15" s="179">
        <f t="shared" si="4"/>
        <v>6.072000000000001</v>
      </c>
    </row>
    <row r="16" spans="1:17" ht="14.25" customHeight="1" x14ac:dyDescent="0.3">
      <c r="B16" s="177" t="s">
        <v>248</v>
      </c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8">
        <f t="shared" ref="N16:Q16" si="5">MEDIAN(N7:N11)</f>
        <v>7.1654585623729368</v>
      </c>
      <c r="O16" s="179">
        <f t="shared" si="5"/>
        <v>22.334353824494453</v>
      </c>
      <c r="P16" s="179">
        <f t="shared" si="5"/>
        <v>34.369999999999997</v>
      </c>
      <c r="Q16" s="179">
        <f t="shared" si="5"/>
        <v>5.3</v>
      </c>
    </row>
    <row r="17" spans="2:17" ht="14.25" customHeight="1" x14ac:dyDescent="0.3">
      <c r="B17" s="174" t="s">
        <v>249</v>
      </c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6">
        <f t="shared" ref="N17:Q17" si="6">QUARTILE(N7:N11,1)</f>
        <v>4.6131648637327114</v>
      </c>
      <c r="O17" s="176">
        <f t="shared" si="6"/>
        <v>16.405144900109455</v>
      </c>
      <c r="P17" s="176">
        <f t="shared" si="6"/>
        <v>29.114999999999998</v>
      </c>
      <c r="Q17" s="176">
        <f t="shared" si="6"/>
        <v>4.12</v>
      </c>
    </row>
    <row r="18" spans="2:17" ht="14.25" customHeight="1" x14ac:dyDescent="0.3">
      <c r="B18" s="174" t="s">
        <v>250</v>
      </c>
      <c r="C18" s="174"/>
      <c r="D18" s="174"/>
      <c r="E18" s="174"/>
      <c r="F18" s="174"/>
      <c r="G18" s="174"/>
      <c r="H18" s="174"/>
      <c r="I18" s="174"/>
      <c r="J18" s="174"/>
      <c r="K18" s="174"/>
      <c r="L18" s="174"/>
      <c r="M18" s="174"/>
      <c r="N18" s="175">
        <f t="shared" ref="N18:Q18" si="7">MIN(N7:N11)</f>
        <v>0.42009640920000002</v>
      </c>
      <c r="O18" s="176">
        <f t="shared" si="7"/>
        <v>13.6721066703</v>
      </c>
      <c r="P18" s="176">
        <f t="shared" si="7"/>
        <v>23.86</v>
      </c>
      <c r="Q18" s="224">
        <f t="shared" si="7"/>
        <v>4.12</v>
      </c>
    </row>
    <row r="19" spans="2:17" ht="14.25" customHeight="1" x14ac:dyDescent="0.3">
      <c r="Q19" s="225"/>
    </row>
    <row r="20" spans="2:17" ht="14.25" customHeight="1" x14ac:dyDescent="0.3">
      <c r="Q20" s="225"/>
    </row>
    <row r="21" spans="2:17" ht="14.25" customHeight="1" x14ac:dyDescent="0.3">
      <c r="B21" s="270" t="s">
        <v>251</v>
      </c>
      <c r="C21" s="242"/>
      <c r="D21" s="242"/>
      <c r="E21" s="242"/>
      <c r="F21" s="242"/>
      <c r="G21" s="242"/>
      <c r="H21" s="242"/>
      <c r="I21" s="242"/>
      <c r="J21" s="242"/>
      <c r="K21" s="242"/>
      <c r="L21" s="242"/>
      <c r="M21" s="242"/>
      <c r="N21" s="180" t="s">
        <v>227</v>
      </c>
      <c r="O21" s="180" t="s">
        <v>228</v>
      </c>
      <c r="P21" s="181" t="s">
        <v>229</v>
      </c>
      <c r="Q21" s="233" t="s">
        <v>230</v>
      </c>
    </row>
    <row r="22" spans="2:17" ht="14.25" customHeight="1" x14ac:dyDescent="0.3">
      <c r="B22" s="182" t="s">
        <v>252</v>
      </c>
      <c r="C22" s="183"/>
      <c r="D22" s="184"/>
      <c r="E22" s="185"/>
      <c r="F22" s="186"/>
      <c r="G22" s="183"/>
      <c r="H22" s="183"/>
      <c r="I22" s="187"/>
      <c r="J22" s="186"/>
      <c r="K22" s="186"/>
      <c r="L22" s="186"/>
      <c r="M22" s="186"/>
      <c r="N22" s="188">
        <f t="shared" ref="N22:O22" si="8">N$16*I7</f>
        <v>8514.4994459108893</v>
      </c>
      <c r="O22" s="188">
        <f t="shared" si="8"/>
        <v>11790.975414565355</v>
      </c>
      <c r="P22" s="189">
        <f>P24+P23</f>
        <v>12238.977299999999</v>
      </c>
      <c r="Q22" s="236">
        <f>Q24+Q23</f>
        <v>9641.9521000000004</v>
      </c>
    </row>
    <row r="23" spans="2:17" ht="14.25" customHeight="1" x14ac:dyDescent="0.3">
      <c r="B23" s="182" t="s">
        <v>220</v>
      </c>
      <c r="C23" s="183"/>
      <c r="D23" s="184"/>
      <c r="E23" s="185"/>
      <c r="F23" s="186"/>
      <c r="G23" s="183"/>
      <c r="H23" s="183"/>
      <c r="I23" s="187"/>
      <c r="J23" s="186"/>
      <c r="K23" s="186"/>
      <c r="L23" s="186"/>
      <c r="M23" s="186"/>
      <c r="N23" s="188">
        <f t="shared" ref="N23:Q23" si="9">$E$7</f>
        <v>-0.52340000000000009</v>
      </c>
      <c r="O23" s="188">
        <f t="shared" si="9"/>
        <v>-0.52340000000000009</v>
      </c>
      <c r="P23" s="188">
        <f t="shared" si="9"/>
        <v>-0.52340000000000009</v>
      </c>
      <c r="Q23" s="189">
        <f t="shared" si="9"/>
        <v>-0.52340000000000009</v>
      </c>
    </row>
    <row r="24" spans="2:17" ht="14.25" customHeight="1" x14ac:dyDescent="0.3">
      <c r="B24" s="182" t="s">
        <v>253</v>
      </c>
      <c r="C24" s="183"/>
      <c r="D24" s="184"/>
      <c r="E24" s="185"/>
      <c r="F24" s="186"/>
      <c r="G24" s="183"/>
      <c r="H24" s="183"/>
      <c r="I24" s="187"/>
      <c r="J24" s="190"/>
      <c r="K24" s="190"/>
      <c r="L24" s="190"/>
      <c r="M24" s="190"/>
      <c r="N24" s="142">
        <f t="shared" ref="N24:O24" si="10">N22-N23</f>
        <v>8515.0228459108894</v>
      </c>
      <c r="O24" s="142">
        <f t="shared" si="10"/>
        <v>11791.498814565355</v>
      </c>
      <c r="P24" s="142">
        <f>P16*K7</f>
        <v>12239.500699999999</v>
      </c>
      <c r="Q24" s="235">
        <f>Q16*L7*G7</f>
        <v>9642.4755000000005</v>
      </c>
    </row>
    <row r="25" spans="2:17" ht="14.25" customHeight="1" thickBot="1" x14ac:dyDescent="0.35">
      <c r="B25" s="191" t="s">
        <v>254</v>
      </c>
      <c r="C25" s="192"/>
      <c r="D25" s="193"/>
      <c r="E25" s="193"/>
      <c r="F25" s="193"/>
      <c r="G25" s="193"/>
      <c r="H25" s="193"/>
      <c r="I25" s="193"/>
      <c r="J25" s="193"/>
      <c r="K25" s="193"/>
      <c r="L25" s="193"/>
      <c r="M25" s="193"/>
      <c r="N25" s="194">
        <f t="shared" ref="N25:Q25" si="11">$G$7</f>
        <v>10.5</v>
      </c>
      <c r="O25" s="194">
        <f t="shared" si="11"/>
        <v>10.5</v>
      </c>
      <c r="P25" s="194">
        <f t="shared" si="11"/>
        <v>10.5</v>
      </c>
      <c r="Q25" s="234">
        <f t="shared" si="11"/>
        <v>10.5</v>
      </c>
    </row>
    <row r="26" spans="2:17" ht="14.25" customHeight="1" thickBot="1" x14ac:dyDescent="0.35">
      <c r="B26" s="195" t="s">
        <v>255</v>
      </c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7">
        <f t="shared" ref="N26:Q26" si="12">N24/N25</f>
        <v>810.95455675341805</v>
      </c>
      <c r="O26" s="197">
        <f t="shared" si="12"/>
        <v>1122.9998871014625</v>
      </c>
      <c r="P26" s="197">
        <f t="shared" si="12"/>
        <v>1165.6667333333332</v>
      </c>
      <c r="Q26" s="197">
        <f t="shared" si="12"/>
        <v>918.33100000000002</v>
      </c>
    </row>
    <row r="27" spans="2:17" ht="14.25" customHeight="1" x14ac:dyDescent="0.3">
      <c r="Q27" s="162"/>
    </row>
    <row r="28" spans="2:17" ht="14.25" customHeight="1" x14ac:dyDescent="0.3">
      <c r="B28" s="198"/>
      <c r="N28" s="199" t="str">
        <f t="shared" ref="N28:Q28" si="13">IF(N26&gt;$C$7,"Undervalued","Overvalued")</f>
        <v>Overvalued</v>
      </c>
      <c r="O28" s="199" t="str">
        <f t="shared" si="13"/>
        <v>Overvalued</v>
      </c>
      <c r="P28" s="199" t="str">
        <f t="shared" si="13"/>
        <v>Overvalued</v>
      </c>
      <c r="Q28" s="199" t="str">
        <f t="shared" si="13"/>
        <v>Overvalued</v>
      </c>
    </row>
    <row r="29" spans="2:17" ht="14.25" customHeight="1" x14ac:dyDescent="0.35">
      <c r="B29" s="200" t="s">
        <v>256</v>
      </c>
      <c r="N29" s="268" t="s">
        <v>257</v>
      </c>
      <c r="O29" s="269"/>
      <c r="P29" s="268" t="s">
        <v>258</v>
      </c>
      <c r="Q29" s="268"/>
    </row>
    <row r="30" spans="2:17" ht="14.25" customHeight="1" x14ac:dyDescent="0.3">
      <c r="L30" s="201"/>
      <c r="M30" s="202" t="s">
        <v>3</v>
      </c>
      <c r="N30" s="27">
        <v>0.5</v>
      </c>
      <c r="O30" s="27">
        <v>0.5</v>
      </c>
      <c r="P30" s="27">
        <v>0.5</v>
      </c>
      <c r="Q30" s="219">
        <v>0.5</v>
      </c>
    </row>
    <row r="31" spans="2:17" ht="14.25" customHeight="1" x14ac:dyDescent="0.3">
      <c r="L31" s="201"/>
      <c r="M31" s="202" t="s">
        <v>259</v>
      </c>
      <c r="N31" s="220">
        <f>SUMPRODUCT(N26:O26,N30:O30)</f>
        <v>966.97722192744027</v>
      </c>
      <c r="O31" s="220"/>
      <c r="P31" s="220">
        <f>SUMPRODUCT(P26:Q26,P30:Q30)</f>
        <v>1041.9988666666666</v>
      </c>
    </row>
    <row r="32" spans="2:1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8">
    <mergeCell ref="B1:D2"/>
    <mergeCell ref="B4:B6"/>
    <mergeCell ref="C4:F4"/>
    <mergeCell ref="N29:O29"/>
    <mergeCell ref="B21:M21"/>
    <mergeCell ref="I4:L4"/>
    <mergeCell ref="N4:Q4"/>
    <mergeCell ref="P29:Q29"/>
  </mergeCells>
  <hyperlinks>
    <hyperlink ref="B8" r:id="rId1" xr:uid="{00000000-0004-0000-0A00-000000000000}"/>
    <hyperlink ref="B9" r:id="rId2" xr:uid="{00000000-0004-0000-0A00-000001000000}"/>
    <hyperlink ref="B10" r:id="rId3" xr:uid="{00000000-0004-0000-0A00-000002000000}"/>
    <hyperlink ref="B11" r:id="rId4" xr:uid="{00000000-0004-0000-0A00-000003000000}"/>
  </hyperlink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1000"/>
  <sheetViews>
    <sheetView workbookViewId="0">
      <selection activeCell="K26" sqref="K26"/>
    </sheetView>
  </sheetViews>
  <sheetFormatPr defaultColWidth="14.44140625" defaultRowHeight="15" customHeight="1" x14ac:dyDescent="0.3"/>
  <cols>
    <col min="1" max="2" width="8.6640625" customWidth="1"/>
    <col min="3" max="3" width="26" customWidth="1"/>
    <col min="4" max="4" width="10.88671875" customWidth="1"/>
    <col min="5" max="5" width="10.33203125" customWidth="1"/>
    <col min="6" max="6" width="9.5546875" customWidth="1"/>
    <col min="7" max="7" width="10.6640625" customWidth="1"/>
    <col min="8" max="8" width="10.5546875" customWidth="1"/>
    <col min="9" max="9" width="12.109375" customWidth="1"/>
    <col min="10" max="10" width="12.5546875" customWidth="1"/>
    <col min="11" max="11" width="12.33203125" customWidth="1"/>
    <col min="12" max="12" width="11.33203125" customWidth="1"/>
    <col min="13" max="13" width="10.33203125" customWidth="1"/>
    <col min="14" max="15" width="8.88671875" hidden="1" customWidth="1"/>
    <col min="16" max="28" width="8.6640625" customWidth="1"/>
  </cols>
  <sheetData>
    <row r="1" spans="1:15" ht="14.25" customHeight="1" x14ac:dyDescent="0.3">
      <c r="A1" s="27" t="s">
        <v>256</v>
      </c>
    </row>
    <row r="2" spans="1:15" ht="14.25" customHeight="1" x14ac:dyDescent="0.4">
      <c r="C2" s="276" t="s">
        <v>260</v>
      </c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0"/>
    </row>
    <row r="3" spans="1:15" ht="14.25" customHeight="1" x14ac:dyDescent="0.3">
      <c r="C3" s="203" t="s">
        <v>37</v>
      </c>
      <c r="D3" s="39">
        <v>44256</v>
      </c>
      <c r="E3" s="39">
        <v>44621</v>
      </c>
      <c r="F3" s="39">
        <v>44986</v>
      </c>
      <c r="G3" s="39">
        <v>45352</v>
      </c>
      <c r="H3" s="39">
        <v>45717</v>
      </c>
      <c r="I3" s="49">
        <v>46082</v>
      </c>
      <c r="J3" s="49">
        <v>46447</v>
      </c>
      <c r="K3" s="49">
        <v>46813</v>
      </c>
      <c r="L3" s="49">
        <v>47178</v>
      </c>
      <c r="M3" s="49">
        <v>47543</v>
      </c>
    </row>
    <row r="4" spans="1:15" ht="14.25" customHeight="1" x14ac:dyDescent="0.3">
      <c r="C4" s="19" t="s">
        <v>261</v>
      </c>
      <c r="D4" s="204">
        <f>'Profit and Loss forecast'!B39*10^5/WACC!$G$4</f>
        <v>0.22412838095238102</v>
      </c>
      <c r="E4" s="204">
        <f>'Profit and Loss forecast'!C39*10^5/WACC!$G$4</f>
        <v>0.17006457142857154</v>
      </c>
      <c r="F4" s="204">
        <f>'Profit and Loss forecast'!D39*10^5/WACC!$G$4</f>
        <v>0.22678704761904767</v>
      </c>
      <c r="G4" s="204">
        <f>'Profit and Loss forecast'!E39*10^5/WACC!$G$4</f>
        <v>0.29022495238095247</v>
      </c>
      <c r="H4" s="204">
        <f>'Profit and Loss forecast'!F39*10^5/WACC!$G$4</f>
        <v>0.3552041904761904</v>
      </c>
      <c r="I4" s="205">
        <f>'Profit and Loss forecast'!G39*10^5/WACC!$G$4</f>
        <v>0.42101987526195589</v>
      </c>
      <c r="J4" s="205">
        <f>'Profit and Loss forecast'!H39*10^5/WACC!$G$4</f>
        <v>0.50375729920725709</v>
      </c>
      <c r="K4" s="205">
        <f>'Profit and Loss forecast'!I39*10^5/WACC!$G$4</f>
        <v>0.62015062238529095</v>
      </c>
      <c r="L4" s="205">
        <f>'Profit and Loss forecast'!J39*10^5/WACC!$G$4</f>
        <v>0.75644962501310775</v>
      </c>
      <c r="M4" s="205">
        <f>'Profit and Loss forecast'!K39*10^5/WACC!$G$4</f>
        <v>0.93520587950889056</v>
      </c>
      <c r="N4" s="205">
        <f>'Profit and Loss forecast'!L39*10^5/WACC!$G$4</f>
        <v>0</v>
      </c>
      <c r="O4" s="205">
        <f>'Profit and Loss forecast'!M39*10^5/WACC!$G$4</f>
        <v>0</v>
      </c>
    </row>
    <row r="5" spans="1:15" ht="14.25" customHeight="1" x14ac:dyDescent="0.3">
      <c r="C5" s="206" t="s">
        <v>262</v>
      </c>
      <c r="D5" s="207">
        <v>0</v>
      </c>
      <c r="E5" s="207">
        <v>0.03</v>
      </c>
      <c r="F5" s="207">
        <v>0.3</v>
      </c>
      <c r="G5" s="207">
        <v>0.3</v>
      </c>
      <c r="H5" s="207">
        <v>0.25</v>
      </c>
      <c r="I5" s="207">
        <f t="shared" ref="I5:M5" si="0">AVERAGE($D$5:$H$5)</f>
        <v>0.17599999999999999</v>
      </c>
      <c r="J5" s="207">
        <f t="shared" si="0"/>
        <v>0.17599999999999999</v>
      </c>
      <c r="K5" s="207">
        <f t="shared" si="0"/>
        <v>0.17599999999999999</v>
      </c>
      <c r="L5" s="207">
        <f t="shared" si="0"/>
        <v>0.17599999999999999</v>
      </c>
      <c r="M5" s="207">
        <f t="shared" si="0"/>
        <v>0.17599999999999999</v>
      </c>
    </row>
    <row r="6" spans="1:15" ht="14.25" customHeight="1" x14ac:dyDescent="0.3">
      <c r="C6" s="19" t="s">
        <v>263</v>
      </c>
      <c r="D6" s="208">
        <f t="shared" ref="D6:M6" si="1">D5*D4</f>
        <v>0</v>
      </c>
      <c r="E6" s="208">
        <f t="shared" si="1"/>
        <v>5.1019371428571462E-3</v>
      </c>
      <c r="F6" s="208">
        <f t="shared" si="1"/>
        <v>6.8036114285714294E-2</v>
      </c>
      <c r="G6" s="208">
        <f t="shared" si="1"/>
        <v>8.7067485714285742E-2</v>
      </c>
      <c r="H6" s="208">
        <f t="shared" si="1"/>
        <v>8.8801047619047599E-2</v>
      </c>
      <c r="I6" s="208">
        <f t="shared" si="1"/>
        <v>7.4099498046104231E-2</v>
      </c>
      <c r="J6" s="208">
        <f t="shared" si="1"/>
        <v>8.8661284660477249E-2</v>
      </c>
      <c r="K6" s="208">
        <f t="shared" si="1"/>
        <v>0.1091465095398112</v>
      </c>
      <c r="L6" s="208">
        <f t="shared" si="1"/>
        <v>0.13313513400230695</v>
      </c>
      <c r="M6" s="208">
        <f t="shared" si="1"/>
        <v>0.16459623479356472</v>
      </c>
    </row>
    <row r="7" spans="1:15" ht="14.25" customHeight="1" x14ac:dyDescent="0.3">
      <c r="C7" s="209" t="s">
        <v>264</v>
      </c>
      <c r="D7" s="210"/>
      <c r="E7" s="211"/>
      <c r="F7" s="211">
        <f>_xlfn.RRI(1,E6,F6)</f>
        <v>12.335349374299279</v>
      </c>
      <c r="G7" s="211">
        <f>_xlfn.RRI(1,F6,G6)</f>
        <v>0.27972454965094196</v>
      </c>
      <c r="H7" s="211">
        <f>_xlfn.RRI(1,G6,H6)</f>
        <v>1.9910554330816232E-2</v>
      </c>
      <c r="I7" s="211">
        <f t="shared" ref="I7:M7" si="2">_xlfn.RRI(1,H6,I6)</f>
        <v>-0.16555603753699322</v>
      </c>
      <c r="J7" s="211">
        <f t="shared" si="2"/>
        <v>0.19651667013065022</v>
      </c>
      <c r="K7" s="211">
        <f t="shared" si="2"/>
        <v>0.23105039542096439</v>
      </c>
      <c r="L7" s="211">
        <f t="shared" si="2"/>
        <v>0.21978370690586213</v>
      </c>
      <c r="M7" s="211">
        <f t="shared" si="2"/>
        <v>0.23630952886345247</v>
      </c>
    </row>
    <row r="8" spans="1:15" ht="14.25" customHeight="1" x14ac:dyDescent="0.3"/>
    <row r="9" spans="1:15" ht="14.25" customHeight="1" x14ac:dyDescent="0.3"/>
    <row r="10" spans="1:15" ht="14.25" customHeight="1" x14ac:dyDescent="0.35">
      <c r="C10" s="212" t="s">
        <v>145</v>
      </c>
      <c r="D10" s="213" t="s">
        <v>265</v>
      </c>
    </row>
    <row r="11" spans="1:15" ht="14.25" customHeight="1" x14ac:dyDescent="0.3">
      <c r="C11" s="19" t="s">
        <v>266</v>
      </c>
      <c r="D11" s="123">
        <f>WACC!D14</f>
        <v>0.13854685338208872</v>
      </c>
    </row>
    <row r="12" spans="1:15" ht="14.25" customHeight="1" x14ac:dyDescent="0.3">
      <c r="C12" s="19" t="s">
        <v>267</v>
      </c>
      <c r="D12" s="128">
        <f>DCF!D18</f>
        <v>0.04</v>
      </c>
    </row>
    <row r="13" spans="1:15" ht="14.25" customHeight="1" x14ac:dyDescent="0.3">
      <c r="C13" s="214" t="s">
        <v>207</v>
      </c>
      <c r="D13" s="120">
        <f>M6*(1+D12)/(D11-D12)</f>
        <v>1.7370426179068643</v>
      </c>
    </row>
    <row r="14" spans="1:15" ht="14.25" customHeight="1" x14ac:dyDescent="0.3">
      <c r="C14" s="214" t="s">
        <v>268</v>
      </c>
      <c r="D14" s="120">
        <f>D13/(1+D11)^5</f>
        <v>0.90793746481527515</v>
      </c>
    </row>
    <row r="15" spans="1:15" ht="14.25" customHeight="1" x14ac:dyDescent="0.3">
      <c r="C15" s="214" t="s">
        <v>269</v>
      </c>
      <c r="D15" s="140">
        <f t="array" ref="D15">NPV(D11,I6:M6)</f>
        <v>0.37269493061013848</v>
      </c>
    </row>
    <row r="16" spans="1:15" ht="14.25" customHeight="1" x14ac:dyDescent="0.3">
      <c r="C16" s="215" t="s">
        <v>270</v>
      </c>
      <c r="D16" s="216">
        <f>SUM(D14:D15)</f>
        <v>1.2806323954254135</v>
      </c>
    </row>
    <row r="17" spans="3:28" ht="14.25" customHeight="1" x14ac:dyDescent="0.3"/>
    <row r="18" spans="3:28" ht="14.25" customHeight="1" x14ac:dyDescent="0.3">
      <c r="C18" s="277" t="s">
        <v>271</v>
      </c>
      <c r="D18" s="217" t="s">
        <v>272</v>
      </c>
      <c r="E18" s="218"/>
      <c r="F18" s="218"/>
      <c r="G18" s="218"/>
      <c r="H18" s="218"/>
      <c r="I18" s="218"/>
      <c r="J18" s="218"/>
      <c r="K18" s="218"/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</row>
    <row r="19" spans="3:28" ht="14.25" customHeight="1" x14ac:dyDescent="0.3">
      <c r="C19" s="278"/>
    </row>
    <row r="20" spans="3:28" ht="14.25" customHeight="1" x14ac:dyDescent="0.3"/>
    <row r="21" spans="3:28" ht="14.25" customHeight="1" x14ac:dyDescent="0.3"/>
    <row r="22" spans="3:28" ht="14.25" customHeight="1" x14ac:dyDescent="0.3"/>
    <row r="23" spans="3:28" ht="14.25" customHeight="1" x14ac:dyDescent="0.3"/>
    <row r="24" spans="3:28" ht="14.25" customHeight="1" x14ac:dyDescent="0.3"/>
    <row r="25" spans="3:28" ht="14.25" customHeight="1" x14ac:dyDescent="0.3"/>
    <row r="26" spans="3:28" ht="14.25" customHeight="1" x14ac:dyDescent="0.3"/>
    <row r="27" spans="3:28" ht="14.25" customHeight="1" x14ac:dyDescent="0.3"/>
    <row r="28" spans="3:28" ht="14.25" customHeight="1" x14ac:dyDescent="0.3"/>
    <row r="29" spans="3:28" ht="14.25" customHeight="1" x14ac:dyDescent="0.3"/>
    <row r="30" spans="3:28" ht="14.25" customHeight="1" x14ac:dyDescent="0.3"/>
    <row r="31" spans="3:28" ht="14.25" customHeight="1" x14ac:dyDescent="0.3"/>
    <row r="32" spans="3:28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">
    <mergeCell ref="C2:O2"/>
    <mergeCell ref="C18:C1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Dashboard</vt:lpstr>
      <vt:lpstr>Drivers</vt:lpstr>
      <vt:lpstr>Balancesheet</vt:lpstr>
      <vt:lpstr>Cash Flow </vt:lpstr>
      <vt:lpstr>Assumptions and Analysis</vt:lpstr>
      <vt:lpstr>Profit and Loss forecast</vt:lpstr>
      <vt:lpstr>Working capital and Capex</vt:lpstr>
      <vt:lpstr>Beta</vt:lpstr>
      <vt:lpstr>WACC</vt:lpstr>
      <vt:lpstr>DCF</vt:lpstr>
      <vt:lpstr>Relative Valuation</vt:lpstr>
      <vt:lpstr>DDM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Thakur</dc:creator>
  <cp:lastModifiedBy>Agrim Thakur</cp:lastModifiedBy>
  <dcterms:created xsi:type="dcterms:W3CDTF">2012-08-17T09:55:37Z</dcterms:created>
  <dcterms:modified xsi:type="dcterms:W3CDTF">2026-08-16T17:51:19Z</dcterms:modified>
</cp:coreProperties>
</file>