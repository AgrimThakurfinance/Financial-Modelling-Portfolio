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rim Thakur\OneDrive\Documents\"/>
    </mc:Choice>
  </mc:AlternateContent>
  <xr:revisionPtr revIDLastSave="0" documentId="13_ncr:1_{7F2734A8-B008-4BFA-BE07-2B056745CF25}" xr6:coauthVersionLast="47" xr6:coauthVersionMax="47" xr10:uidLastSave="{00000000-0000-0000-0000-000000000000}"/>
  <bookViews>
    <workbookView xWindow="-108" yWindow="-108" windowWidth="23256" windowHeight="12456" xr2:uid="{28C4D27A-130F-4456-827E-0F5B918E7DD5}"/>
  </bookViews>
  <sheets>
    <sheet name="P&amp;L Input" sheetId="2" r:id="rId1"/>
    <sheet name="Balance Sheet Input" sheetId="3" r:id="rId2"/>
    <sheet name="Revenue Modelling" sheetId="4" r:id="rId3"/>
    <sheet name="Other Items" sheetId="5" r:id="rId4"/>
    <sheet name="Schedules" sheetId="7" r:id="rId5"/>
    <sheet name="P&amp;L" sheetId="9" r:id="rId6"/>
    <sheet name="Balance Sheet" sheetId="11" r:id="rId7"/>
    <sheet name="Cashflow Statement" sheetId="12" r:id="rId8"/>
    <sheet name="WACC" sheetId="13" r:id="rId9"/>
    <sheet name="DCF" sheetId="14" r:id="rId10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" i="14" l="1"/>
  <c r="B18" i="14"/>
  <c r="B17" i="14"/>
  <c r="B16" i="14"/>
  <c r="B13" i="14"/>
  <c r="B12" i="14"/>
  <c r="B10" i="14"/>
  <c r="C8" i="14"/>
  <c r="D8" i="14"/>
  <c r="E8" i="14"/>
  <c r="B8" i="14"/>
  <c r="C5" i="14"/>
  <c r="D5" i="14"/>
  <c r="E5" i="14"/>
  <c r="B5" i="14"/>
  <c r="C4" i="14"/>
  <c r="D4" i="14"/>
  <c r="E4" i="14"/>
  <c r="B4" i="14"/>
  <c r="B18" i="13"/>
  <c r="B16" i="13"/>
  <c r="B15" i="13"/>
  <c r="B13" i="13"/>
  <c r="B12" i="13"/>
  <c r="F23" i="11"/>
  <c r="G23" i="11"/>
  <c r="H23" i="11"/>
  <c r="E23" i="11"/>
  <c r="F22" i="12"/>
  <c r="G22" i="12"/>
  <c r="H22" i="12"/>
  <c r="E22" i="12"/>
  <c r="F16" i="12"/>
  <c r="G16" i="12"/>
  <c r="H16" i="12"/>
  <c r="E16" i="12"/>
  <c r="F7" i="11"/>
  <c r="G7" i="11"/>
  <c r="H7" i="11"/>
  <c r="E7" i="11"/>
  <c r="F15" i="12"/>
  <c r="G15" i="12"/>
  <c r="H15" i="12"/>
  <c r="E15" i="12"/>
  <c r="C4" i="5"/>
  <c r="D4" i="5"/>
  <c r="B4" i="5"/>
  <c r="E27" i="7"/>
  <c r="B7" i="9" l="1"/>
  <c r="B8" i="9" s="1"/>
  <c r="B13" i="9" s="1"/>
  <c r="B15" i="9" s="1"/>
  <c r="B18" i="9" s="1"/>
  <c r="E14" i="12"/>
  <c r="F18" i="11"/>
  <c r="G18" i="11"/>
  <c r="H18" i="11"/>
  <c r="E18" i="11"/>
  <c r="G14" i="12"/>
  <c r="H14" i="12"/>
  <c r="F19" i="11"/>
  <c r="G19" i="11"/>
  <c r="H19" i="11"/>
  <c r="E19" i="11"/>
  <c r="F12" i="12"/>
  <c r="G12" i="12"/>
  <c r="H12" i="12"/>
  <c r="E12" i="12"/>
  <c r="F10" i="11"/>
  <c r="G10" i="11"/>
  <c r="H10" i="11"/>
  <c r="E10" i="11"/>
  <c r="F18" i="12"/>
  <c r="F19" i="12" s="1"/>
  <c r="G18" i="12"/>
  <c r="H18" i="12"/>
  <c r="E18" i="12"/>
  <c r="F9" i="12"/>
  <c r="G9" i="12"/>
  <c r="H9" i="12"/>
  <c r="E9" i="12"/>
  <c r="F23" i="12"/>
  <c r="G23" i="12"/>
  <c r="H23" i="12"/>
  <c r="F9" i="11"/>
  <c r="G9" i="11"/>
  <c r="H9" i="11"/>
  <c r="G19" i="12"/>
  <c r="H19" i="12"/>
  <c r="E19" i="12"/>
  <c r="E9" i="11"/>
  <c r="F17" i="12"/>
  <c r="G17" i="12"/>
  <c r="H17" i="12"/>
  <c r="E17" i="12"/>
  <c r="F8" i="12"/>
  <c r="G8" i="12"/>
  <c r="H8" i="12"/>
  <c r="E8" i="12"/>
  <c r="E23" i="12"/>
  <c r="C32" i="11"/>
  <c r="D32" i="11"/>
  <c r="B32" i="11"/>
  <c r="C19" i="9"/>
  <c r="D19" i="9"/>
  <c r="B19" i="9"/>
  <c r="C17" i="9"/>
  <c r="D17" i="9"/>
  <c r="B17" i="9"/>
  <c r="C16" i="9"/>
  <c r="D16" i="9"/>
  <c r="E16" i="9"/>
  <c r="F16" i="9"/>
  <c r="G16" i="9"/>
  <c r="H16" i="9"/>
  <c r="B16" i="9"/>
  <c r="C14" i="9"/>
  <c r="D14" i="9"/>
  <c r="E14" i="9"/>
  <c r="F14" i="9"/>
  <c r="G14" i="9"/>
  <c r="H14" i="9"/>
  <c r="B14" i="9"/>
  <c r="D20" i="5"/>
  <c r="C12" i="9"/>
  <c r="D12" i="9"/>
  <c r="E12" i="9"/>
  <c r="F12" i="9"/>
  <c r="G12" i="9"/>
  <c r="H12" i="9"/>
  <c r="B12" i="9"/>
  <c r="C11" i="9"/>
  <c r="D11" i="9"/>
  <c r="E11" i="9"/>
  <c r="F11" i="9"/>
  <c r="G11" i="9"/>
  <c r="H11" i="9"/>
  <c r="B11" i="9"/>
  <c r="C10" i="9"/>
  <c r="D10" i="9"/>
  <c r="E10" i="9"/>
  <c r="F10" i="9"/>
  <c r="G10" i="9"/>
  <c r="H10" i="9"/>
  <c r="B10" i="9"/>
  <c r="B6" i="9"/>
  <c r="C6" i="9"/>
  <c r="D6" i="9"/>
  <c r="E6" i="9"/>
  <c r="F6" i="9"/>
  <c r="G6" i="9"/>
  <c r="H6" i="9"/>
  <c r="C7" i="9"/>
  <c r="C8" i="9" s="1"/>
  <c r="C13" i="9" s="1"/>
  <c r="C15" i="9" s="1"/>
  <c r="C18" i="9" s="1"/>
  <c r="D7" i="9"/>
  <c r="D8" i="9" s="1"/>
  <c r="D13" i="9" s="1"/>
  <c r="D15" i="9" s="1"/>
  <c r="D18" i="9" s="1"/>
  <c r="C5" i="9"/>
  <c r="D5" i="9"/>
  <c r="E5" i="9"/>
  <c r="F5" i="9"/>
  <c r="G5" i="9"/>
  <c r="H5" i="9"/>
  <c r="B5" i="9"/>
  <c r="C4" i="9"/>
  <c r="D4" i="9"/>
  <c r="E4" i="9"/>
  <c r="F4" i="9"/>
  <c r="G4" i="9"/>
  <c r="H4" i="9"/>
  <c r="B4" i="9"/>
  <c r="F27" i="7"/>
  <c r="G27" i="7"/>
  <c r="H27" i="7"/>
  <c r="F28" i="7"/>
  <c r="G28" i="7"/>
  <c r="H28" i="7"/>
  <c r="E28" i="7"/>
  <c r="F25" i="7"/>
  <c r="G25" i="7"/>
  <c r="H25" i="7"/>
  <c r="E25" i="7"/>
  <c r="F23" i="7" s="1"/>
  <c r="G23" i="7"/>
  <c r="H23" i="7"/>
  <c r="E23" i="7"/>
  <c r="G14" i="7"/>
  <c r="F14" i="7"/>
  <c r="F17" i="7" s="1"/>
  <c r="E17" i="7"/>
  <c r="F16" i="7"/>
  <c r="G16" i="7"/>
  <c r="G17" i="7" s="1"/>
  <c r="H14" i="7" s="1"/>
  <c r="E16" i="7"/>
  <c r="F19" i="7"/>
  <c r="G19" i="7"/>
  <c r="H19" i="7"/>
  <c r="E19" i="7"/>
  <c r="F15" i="7"/>
  <c r="G15" i="7"/>
  <c r="H15" i="7"/>
  <c r="E15" i="7"/>
  <c r="E14" i="7"/>
  <c r="F7" i="7"/>
  <c r="E7" i="7"/>
  <c r="F4" i="7"/>
  <c r="F6" i="7" s="1"/>
  <c r="G4" i="7"/>
  <c r="G6" i="7" s="1"/>
  <c r="E4" i="7"/>
  <c r="E6" i="7" s="1"/>
  <c r="F5" i="7"/>
  <c r="G5" i="7"/>
  <c r="H5" i="7"/>
  <c r="E5" i="7"/>
  <c r="G9" i="7"/>
  <c r="H9" i="7"/>
  <c r="F9" i="7"/>
  <c r="E9" i="7"/>
  <c r="F25" i="5"/>
  <c r="G25" i="5"/>
  <c r="H25" i="5"/>
  <c r="E25" i="5"/>
  <c r="F26" i="5"/>
  <c r="G26" i="5"/>
  <c r="H26" i="5"/>
  <c r="E26" i="5"/>
  <c r="C26" i="5"/>
  <c r="D26" i="5"/>
  <c r="B26" i="5"/>
  <c r="C25" i="5"/>
  <c r="D25" i="5"/>
  <c r="B25" i="5"/>
  <c r="F23" i="5"/>
  <c r="G23" i="5"/>
  <c r="H23" i="5"/>
  <c r="E23" i="5"/>
  <c r="C23" i="5"/>
  <c r="D23" i="5"/>
  <c r="B23" i="5"/>
  <c r="C22" i="5"/>
  <c r="D22" i="5"/>
  <c r="B22" i="5"/>
  <c r="C20" i="5"/>
  <c r="C19" i="5"/>
  <c r="D19" i="5"/>
  <c r="B19" i="5"/>
  <c r="F16" i="5"/>
  <c r="G16" i="5"/>
  <c r="H16" i="5"/>
  <c r="E16" i="5"/>
  <c r="F17" i="5"/>
  <c r="G17" i="5"/>
  <c r="H17" i="5"/>
  <c r="E17" i="5"/>
  <c r="C17" i="5"/>
  <c r="D17" i="5"/>
  <c r="B17" i="5"/>
  <c r="C16" i="5"/>
  <c r="D16" i="5"/>
  <c r="B16" i="5"/>
  <c r="F13" i="5"/>
  <c r="G13" i="5"/>
  <c r="H13" i="5"/>
  <c r="E13" i="5"/>
  <c r="F14" i="5"/>
  <c r="G14" i="5"/>
  <c r="H14" i="5"/>
  <c r="E14" i="5"/>
  <c r="C14" i="5"/>
  <c r="D14" i="5"/>
  <c r="B14" i="5"/>
  <c r="C13" i="5"/>
  <c r="D13" i="5"/>
  <c r="B13" i="5"/>
  <c r="F10" i="5"/>
  <c r="G10" i="5"/>
  <c r="H10" i="5"/>
  <c r="E10" i="5"/>
  <c r="F11" i="5"/>
  <c r="G11" i="5"/>
  <c r="H11" i="5"/>
  <c r="E11" i="5"/>
  <c r="C11" i="5"/>
  <c r="D11" i="5"/>
  <c r="B11" i="5"/>
  <c r="C10" i="5"/>
  <c r="D10" i="5"/>
  <c r="B10" i="5"/>
  <c r="F7" i="5"/>
  <c r="G7" i="5"/>
  <c r="H7" i="5"/>
  <c r="E7" i="5"/>
  <c r="F8" i="5"/>
  <c r="G8" i="5"/>
  <c r="H8" i="5"/>
  <c r="E8" i="5"/>
  <c r="C8" i="5"/>
  <c r="D8" i="5"/>
  <c r="B8" i="5"/>
  <c r="C7" i="5"/>
  <c r="D7" i="5"/>
  <c r="B7" i="5"/>
  <c r="C5" i="5"/>
  <c r="D5" i="5"/>
  <c r="E6" i="4"/>
  <c r="F6" i="4"/>
  <c r="G6" i="4"/>
  <c r="H6" i="4"/>
  <c r="C3" i="4"/>
  <c r="C6" i="4" s="1"/>
  <c r="D3" i="4"/>
  <c r="E3" i="4"/>
  <c r="F3" i="4"/>
  <c r="G3" i="4"/>
  <c r="H3" i="4"/>
  <c r="F4" i="4"/>
  <c r="G4" i="4"/>
  <c r="H4" i="4"/>
  <c r="E4" i="4"/>
  <c r="F5" i="4"/>
  <c r="G5" i="4" s="1"/>
  <c r="E5" i="4"/>
  <c r="F25" i="4"/>
  <c r="G25" i="4"/>
  <c r="H25" i="4"/>
  <c r="E25" i="4"/>
  <c r="H34" i="4"/>
  <c r="G34" i="4"/>
  <c r="F34" i="4"/>
  <c r="H27" i="4"/>
  <c r="F27" i="4"/>
  <c r="G27" i="4" s="1"/>
  <c r="H20" i="4"/>
  <c r="G20" i="4"/>
  <c r="F20" i="4"/>
  <c r="F19" i="4" s="1"/>
  <c r="F17" i="4" s="1"/>
  <c r="E20" i="4"/>
  <c r="E31" i="4"/>
  <c r="F32" i="4"/>
  <c r="G32" i="4"/>
  <c r="H32" i="4"/>
  <c r="E32" i="4"/>
  <c r="F33" i="4"/>
  <c r="E33" i="4"/>
  <c r="E34" i="4"/>
  <c r="E24" i="4"/>
  <c r="E26" i="4"/>
  <c r="E27" i="4"/>
  <c r="F18" i="4"/>
  <c r="G18" i="4"/>
  <c r="H18" i="4"/>
  <c r="E18" i="4"/>
  <c r="E19" i="4"/>
  <c r="E17" i="4" s="1"/>
  <c r="F10" i="4"/>
  <c r="G10" i="4"/>
  <c r="H10" i="4"/>
  <c r="E10" i="4"/>
  <c r="F11" i="4"/>
  <c r="G11" i="4"/>
  <c r="H11" i="4"/>
  <c r="E11" i="4"/>
  <c r="F12" i="4"/>
  <c r="G12" i="4"/>
  <c r="H12" i="4"/>
  <c r="E12" i="4"/>
  <c r="F13" i="4"/>
  <c r="G13" i="4"/>
  <c r="H13" i="4"/>
  <c r="E13" i="4"/>
  <c r="B9" i="13"/>
  <c r="D31" i="11"/>
  <c r="C31" i="11"/>
  <c r="B31" i="11"/>
  <c r="D21" i="11"/>
  <c r="D25" i="11"/>
  <c r="C21" i="11"/>
  <c r="C25" i="11"/>
  <c r="B21" i="11"/>
  <c r="B25" i="11"/>
  <c r="B7" i="11"/>
  <c r="B8" i="11"/>
  <c r="B12" i="11"/>
  <c r="B35" i="11"/>
  <c r="C8" i="11"/>
  <c r="C12" i="11"/>
  <c r="D8" i="11"/>
  <c r="D12" i="11"/>
  <c r="C27" i="7"/>
  <c r="C25" i="7"/>
  <c r="C28" i="7"/>
  <c r="D27" i="7"/>
  <c r="B27" i="7"/>
  <c r="D23" i="7"/>
  <c r="D25" i="7"/>
  <c r="D24" i="7"/>
  <c r="B25" i="7"/>
  <c r="C23" i="7"/>
  <c r="C24" i="7"/>
  <c r="B17" i="7"/>
  <c r="C14" i="7"/>
  <c r="C17" i="7"/>
  <c r="D17" i="7"/>
  <c r="D7" i="7"/>
  <c r="C7" i="7"/>
  <c r="B7" i="7"/>
  <c r="C4" i="7"/>
  <c r="D28" i="7"/>
  <c r="C15" i="7"/>
  <c r="C19" i="7"/>
  <c r="D14" i="7"/>
  <c r="B28" i="7"/>
  <c r="C35" i="11"/>
  <c r="D35" i="11"/>
  <c r="C5" i="7"/>
  <c r="C9" i="7"/>
  <c r="D4" i="7"/>
  <c r="D5" i="7"/>
  <c r="D9" i="7"/>
  <c r="D15" i="7"/>
  <c r="D19" i="7"/>
  <c r="B3" i="4"/>
  <c r="D5" i="4"/>
  <c r="C5" i="4"/>
  <c r="D32" i="4"/>
  <c r="D33" i="4"/>
  <c r="C32" i="4"/>
  <c r="C33" i="4"/>
  <c r="B32" i="4"/>
  <c r="B33" i="4"/>
  <c r="D25" i="4"/>
  <c r="D26" i="4"/>
  <c r="C25" i="4"/>
  <c r="C26" i="4"/>
  <c r="B25" i="4"/>
  <c r="B26" i="4"/>
  <c r="D18" i="4"/>
  <c r="D19" i="4"/>
  <c r="C18" i="4"/>
  <c r="C19" i="4"/>
  <c r="B18" i="4"/>
  <c r="B19" i="4"/>
  <c r="C11" i="4"/>
  <c r="B6" i="4"/>
  <c r="D6" i="4"/>
  <c r="C20" i="4"/>
  <c r="C34" i="4"/>
  <c r="D34" i="4"/>
  <c r="C27" i="4"/>
  <c r="D27" i="4"/>
  <c r="D20" i="4"/>
  <c r="C12" i="4"/>
  <c r="D11" i="4"/>
  <c r="D12" i="4"/>
  <c r="B11" i="4"/>
  <c r="B12" i="4"/>
  <c r="C13" i="4"/>
  <c r="D31" i="3"/>
  <c r="C31" i="3"/>
  <c r="B31" i="3"/>
  <c r="D21" i="3"/>
  <c r="D25" i="3"/>
  <c r="C21" i="3"/>
  <c r="C25" i="3"/>
  <c r="B21" i="3"/>
  <c r="B25" i="3"/>
  <c r="D8" i="3"/>
  <c r="D12" i="3"/>
  <c r="C8" i="3"/>
  <c r="C12" i="3"/>
  <c r="B7" i="3"/>
  <c r="D13" i="4"/>
  <c r="B8" i="3"/>
  <c r="B12" i="3"/>
  <c r="B32" i="3"/>
  <c r="C32" i="3"/>
  <c r="D32" i="3"/>
  <c r="D20" i="9" l="1"/>
  <c r="D21" i="9"/>
  <c r="C21" i="9"/>
  <c r="C20" i="9"/>
  <c r="B21" i="9"/>
  <c r="B20" i="9"/>
  <c r="B5" i="5"/>
  <c r="E5" i="5" s="1"/>
  <c r="E4" i="5" s="1"/>
  <c r="E7" i="9" s="1"/>
  <c r="E8" i="9" s="1"/>
  <c r="E13" i="9" s="1"/>
  <c r="E15" i="9" s="1"/>
  <c r="B20" i="5"/>
  <c r="F14" i="12"/>
  <c r="G20" i="5"/>
  <c r="H20" i="5"/>
  <c r="E20" i="5"/>
  <c r="F20" i="5"/>
  <c r="F5" i="5"/>
  <c r="F4" i="5" s="1"/>
  <c r="F7" i="9" s="1"/>
  <c r="F8" i="9" s="1"/>
  <c r="F13" i="9" s="1"/>
  <c r="F15" i="9" s="1"/>
  <c r="G5" i="5"/>
  <c r="G4" i="5" s="1"/>
  <c r="G7" i="9" s="1"/>
  <c r="G8" i="9" s="1"/>
  <c r="G13" i="9" s="1"/>
  <c r="G15" i="9" s="1"/>
  <c r="H5" i="5"/>
  <c r="H4" i="5" s="1"/>
  <c r="H16" i="7"/>
  <c r="H17" i="7" s="1"/>
  <c r="G7" i="7"/>
  <c r="H4" i="7" s="1"/>
  <c r="H5" i="4"/>
  <c r="G33" i="4"/>
  <c r="H33" i="4" s="1"/>
  <c r="H31" i="4" s="1"/>
  <c r="G31" i="4"/>
  <c r="F31" i="4"/>
  <c r="F26" i="4"/>
  <c r="G19" i="4"/>
  <c r="G19" i="5" l="1"/>
  <c r="H20" i="9"/>
  <c r="H6" i="12" s="1"/>
  <c r="F20" i="9"/>
  <c r="F6" i="12" s="1"/>
  <c r="G20" i="9"/>
  <c r="G6" i="12" s="1"/>
  <c r="E20" i="9"/>
  <c r="E6" i="12" s="1"/>
  <c r="G4" i="12"/>
  <c r="G18" i="9"/>
  <c r="E4" i="12"/>
  <c r="E18" i="9"/>
  <c r="F4" i="12"/>
  <c r="F18" i="9"/>
  <c r="G17" i="11"/>
  <c r="G21" i="11" s="1"/>
  <c r="G25" i="11" s="1"/>
  <c r="E19" i="5"/>
  <c r="F19" i="5"/>
  <c r="H7" i="9"/>
  <c r="H8" i="9" s="1"/>
  <c r="H13" i="9" s="1"/>
  <c r="H15" i="9" s="1"/>
  <c r="H19" i="5"/>
  <c r="H6" i="7"/>
  <c r="H7" i="7"/>
  <c r="F24" i="4"/>
  <c r="G26" i="4"/>
  <c r="G17" i="4"/>
  <c r="H19" i="4"/>
  <c r="H17" i="4" s="1"/>
  <c r="F17" i="11" l="1"/>
  <c r="F21" i="11" s="1"/>
  <c r="F25" i="11" s="1"/>
  <c r="F11" i="12"/>
  <c r="F21" i="12" s="1"/>
  <c r="F25" i="12" s="1"/>
  <c r="E5" i="12"/>
  <c r="E7" i="12" s="1"/>
  <c r="E10" i="12" s="1"/>
  <c r="H17" i="11"/>
  <c r="H21" i="11" s="1"/>
  <c r="H25" i="11" s="1"/>
  <c r="H11" i="12"/>
  <c r="H21" i="12" s="1"/>
  <c r="H25" i="12" s="1"/>
  <c r="E17" i="11"/>
  <c r="E21" i="11" s="1"/>
  <c r="E25" i="11" s="1"/>
  <c r="E11" i="12"/>
  <c r="E21" i="12" s="1"/>
  <c r="F19" i="9"/>
  <c r="F21" i="9" s="1"/>
  <c r="G19" i="9"/>
  <c r="G21" i="9" s="1"/>
  <c r="H4" i="12"/>
  <c r="H18" i="9"/>
  <c r="F5" i="12"/>
  <c r="F7" i="12" s="1"/>
  <c r="F10" i="12" s="1"/>
  <c r="G5" i="12"/>
  <c r="G7" i="12" s="1"/>
  <c r="G10" i="12" s="1"/>
  <c r="G11" i="12"/>
  <c r="G21" i="12" s="1"/>
  <c r="G25" i="12" s="1"/>
  <c r="E19" i="9"/>
  <c r="E24" i="12" s="1"/>
  <c r="G24" i="4"/>
  <c r="H26" i="4"/>
  <c r="H24" i="4" s="1"/>
  <c r="F24" i="12" l="1"/>
  <c r="H19" i="9"/>
  <c r="H21" i="9" s="1"/>
  <c r="H5" i="12"/>
  <c r="H7" i="12" s="1"/>
  <c r="H10" i="12" s="1"/>
  <c r="E21" i="9"/>
  <c r="E30" i="11" s="1"/>
  <c r="G24" i="12"/>
  <c r="E25" i="12" l="1"/>
  <c r="E6" i="11" s="1"/>
  <c r="F30" i="11"/>
  <c r="E31" i="11"/>
  <c r="E32" i="11" s="1"/>
  <c r="H24" i="12"/>
  <c r="E8" i="11" l="1"/>
  <c r="E12" i="11" s="1"/>
  <c r="E35" i="11" s="1"/>
  <c r="F6" i="11"/>
  <c r="G30" i="11"/>
  <c r="F31" i="11"/>
  <c r="F32" i="11" s="1"/>
  <c r="F8" i="11" l="1"/>
  <c r="F12" i="11" s="1"/>
  <c r="F35" i="11" s="1"/>
  <c r="G6" i="11"/>
  <c r="H30" i="11"/>
  <c r="H31" i="11" s="1"/>
  <c r="H32" i="11" s="1"/>
  <c r="G31" i="11"/>
  <c r="G32" i="11" s="1"/>
  <c r="H6" i="11" l="1"/>
  <c r="G8" i="11"/>
  <c r="G12" i="11"/>
  <c r="G35" i="11" s="1"/>
  <c r="H8" i="11" l="1"/>
  <c r="H12" i="11" s="1"/>
  <c r="H35" i="11" s="1"/>
</calcChain>
</file>

<file path=xl/sharedStrings.xml><?xml version="1.0" encoding="utf-8"?>
<sst xmlns="http://schemas.openxmlformats.org/spreadsheetml/2006/main" count="279" uniqueCount="149">
  <si>
    <t>P&amp;L Statement</t>
  </si>
  <si>
    <t>(in thousands)</t>
  </si>
  <si>
    <t>2018
Act</t>
  </si>
  <si>
    <t>2019
Act</t>
  </si>
  <si>
    <t>2020
Act</t>
  </si>
  <si>
    <t>Revenues</t>
  </si>
  <si>
    <t>Cost of revenues</t>
  </si>
  <si>
    <t>Marketing</t>
  </si>
  <si>
    <t>Technology and development</t>
  </si>
  <si>
    <t>General and administrative</t>
  </si>
  <si>
    <t>Operating income</t>
  </si>
  <si>
    <t>Other income (expense):</t>
  </si>
  <si>
    <t xml:space="preserve">     Interest</t>
  </si>
  <si>
    <t xml:space="preserve">     Interest and other income (expense)</t>
  </si>
  <si>
    <t>Income before income taxes</t>
  </si>
  <si>
    <t>Provision for income taxes</t>
  </si>
  <si>
    <t>Net income</t>
  </si>
  <si>
    <t xml:space="preserve">Balance Sheet </t>
  </si>
  <si>
    <t>Assets</t>
  </si>
  <si>
    <t>Current assets:</t>
  </si>
  <si>
    <t xml:space="preserve">     Cash and cash equivalents</t>
  </si>
  <si>
    <t xml:space="preserve">     Other current assets</t>
  </si>
  <si>
    <t>Total current assets</t>
  </si>
  <si>
    <t xml:space="preserve">     Content assets, net</t>
  </si>
  <si>
    <t xml:space="preserve">     Property and equipment, net</t>
  </si>
  <si>
    <t xml:space="preserve">     Other non-current assets</t>
  </si>
  <si>
    <t>Total assets</t>
  </si>
  <si>
    <t>Liabilities and Stockholders' Equity</t>
  </si>
  <si>
    <t>Current liabilities:</t>
  </si>
  <si>
    <t xml:space="preserve">     Current content liabilities</t>
  </si>
  <si>
    <t xml:space="preserve">     Accounts payable</t>
  </si>
  <si>
    <t xml:space="preserve">     Accrued expenses and other liabilities</t>
  </si>
  <si>
    <t xml:space="preserve">     Deferred revenue</t>
  </si>
  <si>
    <t xml:space="preserve">     Short-term debt</t>
  </si>
  <si>
    <t>Total current liabilities</t>
  </si>
  <si>
    <t>Non-current content liabilities</t>
  </si>
  <si>
    <t xml:space="preserve">     Long-term debt</t>
  </si>
  <si>
    <t xml:space="preserve">     Other non-current liabilities</t>
  </si>
  <si>
    <t>Total liabilities</t>
  </si>
  <si>
    <t>Stockholders' equity:</t>
  </si>
  <si>
    <t xml:space="preserve">     Common stock</t>
  </si>
  <si>
    <t xml:space="preserve">     Treasury stock</t>
  </si>
  <si>
    <t xml:space="preserve">     Accumulated other comprehensive income (loss)</t>
  </si>
  <si>
    <t xml:space="preserve">     Retained earnings</t>
  </si>
  <si>
    <t>Total stockholders' equity</t>
  </si>
  <si>
    <t>Total liabilities and stockholders' equity</t>
  </si>
  <si>
    <t>Revenue Sources</t>
  </si>
  <si>
    <t>Streaming revenues</t>
  </si>
  <si>
    <t>DVD Revenues</t>
  </si>
  <si>
    <t>Growth %</t>
  </si>
  <si>
    <t>Total Revenues</t>
  </si>
  <si>
    <t>Unites States and Canada ( in thousands)</t>
  </si>
  <si>
    <t>Average yearly revenue per membership</t>
  </si>
  <si>
    <t>Average Paid membership</t>
  </si>
  <si>
    <t>Europe, Middle East, and Africa (EMEA) (in thousands)</t>
  </si>
  <si>
    <t>Latin America (LATAM) (in thousands)</t>
  </si>
  <si>
    <t>Asia-Pacific (in thousands)</t>
  </si>
  <si>
    <t>Average Monthly Revenues</t>
  </si>
  <si>
    <t>Other Items</t>
  </si>
  <si>
    <t>Cost of Goods Sold</t>
  </si>
  <si>
    <t>as a % revenues</t>
  </si>
  <si>
    <t>Technology and Development</t>
  </si>
  <si>
    <t>General and Administrative</t>
  </si>
  <si>
    <t>Cashflow</t>
  </si>
  <si>
    <t>Schedules</t>
  </si>
  <si>
    <t>Other Current assets</t>
  </si>
  <si>
    <t xml:space="preserve">Accounts Payable </t>
  </si>
  <si>
    <t>Days Payable</t>
  </si>
  <si>
    <t>Accrued Expenses and other Liabilities</t>
  </si>
  <si>
    <t>Deferred Revenue</t>
  </si>
  <si>
    <t>PP&amp;E</t>
  </si>
  <si>
    <t>Beginning Balance</t>
  </si>
  <si>
    <t>add: Capex</t>
  </si>
  <si>
    <t>less: Depreciation</t>
  </si>
  <si>
    <t>Closing Balance</t>
  </si>
  <si>
    <t xml:space="preserve">Useful life </t>
  </si>
  <si>
    <t>Content Assets</t>
  </si>
  <si>
    <t>less: Amortisation of Content Assets</t>
  </si>
  <si>
    <t>add: Addition to Content Assets</t>
  </si>
  <si>
    <t>Useful life</t>
  </si>
  <si>
    <t>Debt Schedule</t>
  </si>
  <si>
    <t>Beginning Balance of Debt</t>
  </si>
  <si>
    <t>add/less: Debt Taken /(debt repaid)</t>
  </si>
  <si>
    <t>Interest Expense</t>
  </si>
  <si>
    <t>P&amp;L Forcasting</t>
  </si>
  <si>
    <t>Operating Expenses</t>
  </si>
  <si>
    <t>Gross Margin</t>
  </si>
  <si>
    <t>EBITDA</t>
  </si>
  <si>
    <t xml:space="preserve">EBIT </t>
  </si>
  <si>
    <t>EBT</t>
  </si>
  <si>
    <t>Taxes</t>
  </si>
  <si>
    <t>tax rate %</t>
  </si>
  <si>
    <t>Net Income</t>
  </si>
  <si>
    <t>Cash Flow</t>
  </si>
  <si>
    <t>EBIT</t>
  </si>
  <si>
    <t>Operating Taxes</t>
  </si>
  <si>
    <t>Tax Rate %</t>
  </si>
  <si>
    <t>NOPAT</t>
  </si>
  <si>
    <t>add Amortization</t>
  </si>
  <si>
    <t>add Depreciation</t>
  </si>
  <si>
    <t>Gross Cash Flow</t>
  </si>
  <si>
    <t>Account Payables</t>
  </si>
  <si>
    <t>Current content liabilites</t>
  </si>
  <si>
    <t>Accrued expenses and other liabilities</t>
  </si>
  <si>
    <t>Other current assets</t>
  </si>
  <si>
    <t>Investments in Working Capital</t>
  </si>
  <si>
    <t>Capex:</t>
  </si>
  <si>
    <t>Extraordinary Items</t>
  </si>
  <si>
    <t>UFCF</t>
  </si>
  <si>
    <t>Debt taken (Repaid)</t>
  </si>
  <si>
    <t>Diff b/w Operating Taxes &amp; Actual Taxes</t>
  </si>
  <si>
    <t>Net Cash Flow</t>
  </si>
  <si>
    <t>Opening Cash</t>
  </si>
  <si>
    <t xml:space="preserve">Check </t>
  </si>
  <si>
    <t xml:space="preserve">Closing Cash </t>
  </si>
  <si>
    <t>WACC</t>
  </si>
  <si>
    <t>Risk free Rate</t>
  </si>
  <si>
    <t>Market Risk Premium</t>
  </si>
  <si>
    <t>Beta</t>
  </si>
  <si>
    <t>Amount</t>
  </si>
  <si>
    <t xml:space="preserve">Cost of Equity </t>
  </si>
  <si>
    <t>RiskfreeRate*beta + Market Risk Premium</t>
  </si>
  <si>
    <t>Cost Debt</t>
  </si>
  <si>
    <t>Equity</t>
  </si>
  <si>
    <t>Debt</t>
  </si>
  <si>
    <t>Equity/(Equity+Debt)</t>
  </si>
  <si>
    <t>Debt/(Equity+Debt)</t>
  </si>
  <si>
    <t>DCF Analysis</t>
  </si>
  <si>
    <t xml:space="preserve">Discounting Factor </t>
  </si>
  <si>
    <t>No of Years</t>
  </si>
  <si>
    <t>PV of UFCF</t>
  </si>
  <si>
    <t>Sum of PV</t>
  </si>
  <si>
    <t>Terminal Value</t>
  </si>
  <si>
    <t>PV of Terminal value</t>
  </si>
  <si>
    <t>Enterprise Value</t>
  </si>
  <si>
    <t>Cash</t>
  </si>
  <si>
    <t>Equity Value</t>
  </si>
  <si>
    <t>2021 Forecasted</t>
  </si>
  <si>
    <t>2022 Forecasted</t>
  </si>
  <si>
    <t>2023 Forecasted</t>
  </si>
  <si>
    <t>2024 Forecasted</t>
  </si>
  <si>
    <t>2018 ACT</t>
  </si>
  <si>
    <t>2019 ACT</t>
  </si>
  <si>
    <t>2020 ACT</t>
  </si>
  <si>
    <t>2021 FORECASTED</t>
  </si>
  <si>
    <t>2022 FORECASTED</t>
  </si>
  <si>
    <t>2023 FORECASTED</t>
  </si>
  <si>
    <t>2024 FORECASTED</t>
  </si>
  <si>
    <t>2022 Forecatsed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</si>
</sst>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&quot;$&quot;* #,##0_);_(&quot;$&quot;* \(#,##0\);_(&quot;$&quot;* &quot;-&quot;??_);_(@_)"/>
    <numFmt numFmtId="168" formatCode="&quot;$&quot;* #,###\ ;&quot;$&quot;* \(#,###\);&quot;$&quot;* \-\ "/>
    <numFmt numFmtId="169" formatCode="&quot;$&quot;#,##0.00"/>
    <numFmt numFmtId="170" formatCode="0.0%"/>
    <numFmt numFmtId="171" formatCode="#,##0.0"/>
    <numFmt numFmtId="172" formatCode="_(* #,##0.0_);_(* \(#,##0.0\);_(* &quot;-&quot;?_);@_l"/>
    <numFmt numFmtId="173" formatCode="_(* #,##0.0_);_(* \(#,##0.0\);_(* &quot;-&quot;?_);@_)"/>
    <numFmt numFmtId="174" formatCode="&quot;₹&quot;\ #,##0.00"/>
    <numFmt numFmtId="175" formatCode="_-[$$-409]* #,##0.00_ ;_-[$$-409]* \-#,##0.00\ ;_-[$$-409]* &quot;-&quot;??_ ;_-@_ "/>
    <numFmt numFmtId="176" formatCode="0.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rgb="FF002060"/>
      <name val="Arial"/>
      <family val="2"/>
      <charset val="204"/>
    </font>
    <font>
      <sz val="10"/>
      <name val="Arial"/>
      <family val="2"/>
    </font>
    <font>
      <b/>
      <sz val="9"/>
      <name val="Arial"/>
      <family val="2"/>
      <charset val="204"/>
    </font>
    <font>
      <sz val="10"/>
      <color indexed="8"/>
      <name val="Arial"/>
      <family val="2"/>
    </font>
    <font>
      <sz val="10"/>
      <name val="Arial"/>
      <family val="2"/>
      <charset val="204"/>
    </font>
    <font>
      <sz val="10"/>
      <name val="Helv"/>
    </font>
    <font>
      <b/>
      <sz val="10"/>
      <name val="Arial"/>
      <family val="2"/>
    </font>
    <font>
      <i/>
      <sz val="10"/>
      <name val="Arial"/>
      <family val="2"/>
    </font>
    <font>
      <b/>
      <sz val="8"/>
      <color indexed="8"/>
      <name val="Times New Roman"/>
      <family val="2"/>
    </font>
    <font>
      <sz val="10"/>
      <color indexed="8"/>
      <name val="Times New Roman"/>
      <family val="2"/>
    </font>
    <font>
      <sz val="10"/>
      <name val="Times New Roman"/>
      <family val="1"/>
      <charset val="204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3" tint="-0.249977111117893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DB69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5" fontId="7" fillId="0" borderId="0">
      <alignment vertical="top"/>
    </xf>
    <xf numFmtId="0" fontId="8" fillId="0" borderId="0"/>
    <xf numFmtId="0" fontId="4" fillId="0" borderId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15">
    <xf numFmtId="0" fontId="0" fillId="0" borderId="0" xfId="0"/>
    <xf numFmtId="0" fontId="3" fillId="0" borderId="0" xfId="2" applyFont="1">
      <alignment vertical="top"/>
    </xf>
    <xf numFmtId="0" fontId="4" fillId="0" borderId="0" xfId="2" applyFont="1">
      <alignment vertical="top"/>
    </xf>
    <xf numFmtId="0" fontId="5" fillId="0" borderId="1" xfId="2" applyFont="1" applyBorder="1" applyAlignment="1"/>
    <xf numFmtId="0" fontId="5" fillId="0" borderId="1" xfId="2" applyFont="1" applyBorder="1" applyAlignment="1">
      <alignment horizontal="right" vertical="top" wrapText="1"/>
    </xf>
    <xf numFmtId="0" fontId="2" fillId="0" borderId="0" xfId="2">
      <alignment vertical="top"/>
    </xf>
    <xf numFmtId="0" fontId="4" fillId="0" borderId="0" xfId="2" applyFont="1" applyAlignment="1">
      <alignment vertical="top" wrapText="1"/>
    </xf>
    <xf numFmtId="0" fontId="6" fillId="0" borderId="0" xfId="2" applyFont="1" applyAlignment="1">
      <alignment vertical="top" wrapText="1"/>
    </xf>
    <xf numFmtId="166" fontId="7" fillId="0" borderId="0" xfId="3" applyNumberFormat="1">
      <alignment vertical="top"/>
    </xf>
    <xf numFmtId="0" fontId="6" fillId="0" borderId="0" xfId="2" applyFont="1" applyAlignment="1">
      <alignment horizontal="left" vertical="top" indent="2"/>
    </xf>
    <xf numFmtId="0" fontId="6" fillId="0" borderId="0" xfId="2" applyFont="1" applyAlignment="1">
      <alignment horizontal="left" vertical="top"/>
    </xf>
    <xf numFmtId="0" fontId="6" fillId="0" borderId="0" xfId="2" applyFont="1">
      <alignment vertical="top"/>
    </xf>
    <xf numFmtId="0" fontId="6" fillId="0" borderId="0" xfId="2" applyFont="1" applyAlignment="1">
      <alignment horizontal="left" vertical="top" wrapText="1"/>
    </xf>
    <xf numFmtId="0" fontId="9" fillId="0" borderId="0" xfId="4" applyFont="1"/>
    <xf numFmtId="0" fontId="4" fillId="0" borderId="0" xfId="4" applyFont="1"/>
    <xf numFmtId="0" fontId="9" fillId="0" borderId="0" xfId="5" applyFont="1"/>
    <xf numFmtId="3" fontId="4" fillId="0" borderId="0" xfId="4" applyNumberFormat="1" applyFont="1"/>
    <xf numFmtId="167" fontId="6" fillId="0" borderId="0" xfId="6" applyNumberFormat="1" applyFont="1" applyFill="1" applyBorder="1" applyProtection="1"/>
    <xf numFmtId="166" fontId="6" fillId="0" borderId="1" xfId="7" applyNumberFormat="1" applyFont="1" applyFill="1" applyBorder="1"/>
    <xf numFmtId="166" fontId="6" fillId="0" borderId="2" xfId="7" applyNumberFormat="1" applyFont="1" applyFill="1" applyBorder="1"/>
    <xf numFmtId="166" fontId="6" fillId="0" borderId="0" xfId="7" applyNumberFormat="1" applyFont="1" applyFill="1" applyBorder="1"/>
    <xf numFmtId="166" fontId="4" fillId="0" borderId="0" xfId="2" applyNumberFormat="1" applyFont="1">
      <alignment vertical="top"/>
    </xf>
    <xf numFmtId="167" fontId="6" fillId="0" borderId="3" xfId="6" applyNumberFormat="1" applyFont="1" applyFill="1" applyBorder="1"/>
    <xf numFmtId="167" fontId="6" fillId="0" borderId="0" xfId="6" applyNumberFormat="1" applyFont="1" applyFill="1" applyBorder="1"/>
    <xf numFmtId="168" fontId="6" fillId="0" borderId="0" xfId="7" applyNumberFormat="1" applyFont="1" applyFill="1" applyBorder="1"/>
    <xf numFmtId="167" fontId="4" fillId="0" borderId="0" xfId="4" applyNumberFormat="1" applyFont="1"/>
    <xf numFmtId="3" fontId="4" fillId="0" borderId="0" xfId="2" applyNumberFormat="1" applyFont="1">
      <alignment vertical="top"/>
    </xf>
    <xf numFmtId="3" fontId="2" fillId="0" borderId="0" xfId="2" applyNumberFormat="1">
      <alignment vertical="top"/>
    </xf>
    <xf numFmtId="0" fontId="4" fillId="0" borderId="0" xfId="4" applyFont="1" applyAlignment="1">
      <alignment horizontal="left" wrapText="1"/>
    </xf>
    <xf numFmtId="166" fontId="6" fillId="0" borderId="4" xfId="7" applyNumberFormat="1" applyFont="1" applyFill="1" applyBorder="1"/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5" fillId="0" borderId="1" xfId="0" applyFont="1" applyBorder="1"/>
    <xf numFmtId="0" fontId="5" fillId="0" borderId="1" xfId="0" applyFont="1" applyBorder="1" applyAlignment="1">
      <alignment horizontal="right" vertical="top" wrapText="1"/>
    </xf>
    <xf numFmtId="165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  <xf numFmtId="0" fontId="10" fillId="0" borderId="0" xfId="0" applyFont="1" applyAlignment="1">
      <alignment vertical="top"/>
    </xf>
    <xf numFmtId="9" fontId="1" fillId="0" borderId="0" xfId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vertical="top"/>
    </xf>
    <xf numFmtId="169" fontId="0" fillId="0" borderId="0" xfId="0" applyNumberFormat="1" applyAlignment="1">
      <alignment vertical="top"/>
    </xf>
    <xf numFmtId="0" fontId="9" fillId="2" borderId="0" xfId="0" applyFont="1" applyFill="1" applyAlignment="1">
      <alignment vertical="top"/>
    </xf>
    <xf numFmtId="169" fontId="0" fillId="2" borderId="0" xfId="0" applyNumberFormat="1" applyFill="1" applyAlignment="1">
      <alignment vertical="top"/>
    </xf>
    <xf numFmtId="0" fontId="11" fillId="0" borderId="0" xfId="0" applyFont="1" applyAlignment="1">
      <alignment vertical="top" wrapText="1"/>
    </xf>
    <xf numFmtId="0" fontId="12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 wrapText="1"/>
    </xf>
    <xf numFmtId="169" fontId="0" fillId="3" borderId="0" xfId="0" applyNumberFormat="1" applyFill="1" applyAlignment="1">
      <alignment vertical="top"/>
    </xf>
    <xf numFmtId="10" fontId="1" fillId="3" borderId="0" xfId="1" applyNumberFormat="1" applyFill="1" applyAlignment="1">
      <alignment vertical="top"/>
    </xf>
    <xf numFmtId="170" fontId="1" fillId="3" borderId="0" xfId="1" applyNumberFormat="1" applyFill="1" applyAlignment="1">
      <alignment vertical="top"/>
    </xf>
    <xf numFmtId="0" fontId="14" fillId="0" borderId="0" xfId="0" applyFont="1"/>
    <xf numFmtId="166" fontId="0" fillId="0" borderId="0" xfId="8" applyNumberFormat="1" applyFont="1"/>
    <xf numFmtId="3" fontId="0" fillId="0" borderId="0" xfId="0" applyNumberFormat="1"/>
    <xf numFmtId="166" fontId="4" fillId="0" borderId="0" xfId="2" applyNumberFormat="1" applyFont="1" applyAlignment="1">
      <alignment horizontal="left" vertical="top"/>
    </xf>
    <xf numFmtId="171" fontId="0" fillId="0" borderId="0" xfId="0" applyNumberFormat="1"/>
    <xf numFmtId="165" fontId="0" fillId="0" borderId="0" xfId="8" applyFont="1"/>
    <xf numFmtId="170" fontId="0" fillId="0" borderId="0" xfId="1" applyNumberFormat="1" applyFont="1"/>
    <xf numFmtId="0" fontId="16" fillId="0" borderId="0" xfId="0" applyFont="1"/>
    <xf numFmtId="0" fontId="0" fillId="0" borderId="1" xfId="0" applyBorder="1" applyAlignment="1">
      <alignment vertical="top"/>
    </xf>
    <xf numFmtId="0" fontId="0" fillId="0" borderId="1" xfId="0" applyBorder="1"/>
    <xf numFmtId="0" fontId="6" fillId="0" borderId="1" xfId="2" applyFont="1" applyBorder="1" applyAlignment="1">
      <alignment horizontal="left" vertical="top" indent="2"/>
    </xf>
    <xf numFmtId="0" fontId="6" fillId="0" borderId="1" xfId="2" applyFont="1" applyBorder="1">
      <alignment vertical="top"/>
    </xf>
    <xf numFmtId="0" fontId="14" fillId="0" borderId="1" xfId="0" applyFont="1" applyBorder="1"/>
    <xf numFmtId="0" fontId="15" fillId="4" borderId="4" xfId="0" applyFont="1" applyFill="1" applyBorder="1"/>
    <xf numFmtId="0" fontId="10" fillId="0" borderId="1" xfId="0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4" fillId="0" borderId="0" xfId="0" applyFont="1" applyAlignment="1">
      <alignment vertical="top"/>
    </xf>
    <xf numFmtId="172" fontId="17" fillId="0" borderId="0" xfId="0" applyNumberFormat="1" applyFont="1"/>
    <xf numFmtId="173" fontId="19" fillId="0" borderId="0" xfId="0" applyNumberFormat="1" applyFont="1"/>
    <xf numFmtId="173" fontId="18" fillId="0" borderId="0" xfId="0" applyNumberFormat="1" applyFont="1"/>
    <xf numFmtId="9" fontId="0" fillId="0" borderId="0" xfId="0" applyNumberFormat="1"/>
    <xf numFmtId="0" fontId="20" fillId="4" borderId="0" xfId="0" applyFont="1" applyFill="1" applyAlignment="1">
      <alignment vertical="top"/>
    </xf>
    <xf numFmtId="10" fontId="0" fillId="0" borderId="0" xfId="0" applyNumberFormat="1"/>
    <xf numFmtId="10" fontId="0" fillId="0" borderId="0" xfId="1" applyNumberFormat="1" applyFont="1"/>
    <xf numFmtId="0" fontId="15" fillId="4" borderId="0" xfId="0" applyFont="1" applyFill="1"/>
    <xf numFmtId="9" fontId="1" fillId="5" borderId="0" xfId="1" applyFill="1" applyAlignment="1">
      <alignment vertical="top"/>
    </xf>
    <xf numFmtId="169" fontId="0" fillId="5" borderId="0" xfId="0" applyNumberFormat="1" applyFill="1" applyAlignment="1">
      <alignment vertical="top"/>
    </xf>
    <xf numFmtId="2" fontId="0" fillId="0" borderId="0" xfId="0" applyNumberFormat="1" applyAlignment="1">
      <alignment vertical="top"/>
    </xf>
    <xf numFmtId="174" fontId="0" fillId="3" borderId="0" xfId="0" applyNumberFormat="1" applyFill="1" applyAlignment="1">
      <alignment vertical="top"/>
    </xf>
    <xf numFmtId="175" fontId="0" fillId="0" borderId="0" xfId="0" applyNumberFormat="1" applyAlignment="1">
      <alignment vertical="top"/>
    </xf>
    <xf numFmtId="0" fontId="21" fillId="0" borderId="5" xfId="0" applyFont="1" applyBorder="1"/>
    <xf numFmtId="9" fontId="0" fillId="5" borderId="0" xfId="0" applyNumberFormat="1" applyFill="1"/>
    <xf numFmtId="9" fontId="0" fillId="0" borderId="0" xfId="1" applyFont="1"/>
    <xf numFmtId="43" fontId="0" fillId="0" borderId="0" xfId="0" applyNumberFormat="1"/>
    <xf numFmtId="176" fontId="0" fillId="0" borderId="0" xfId="0" applyNumberFormat="1"/>
    <xf numFmtId="43" fontId="0" fillId="5" borderId="0" xfId="0" applyNumberFormat="1" applyFill="1"/>
    <xf numFmtId="0" fontId="5" fillId="0" borderId="0" xfId="0" applyFont="1" applyAlignment="1">
      <alignment horizontal="right" vertical="top" wrapText="1"/>
    </xf>
    <xf numFmtId="176" fontId="0" fillId="0" borderId="0" xfId="8" applyNumberFormat="1" applyFont="1"/>
    <xf numFmtId="171" fontId="0" fillId="5" borderId="0" xfId="0" applyNumberFormat="1" applyFill="1"/>
    <xf numFmtId="4" fontId="0" fillId="5" borderId="0" xfId="0" applyNumberFormat="1" applyFill="1"/>
    <xf numFmtId="166" fontId="0" fillId="0" borderId="0" xfId="0" applyNumberFormat="1"/>
    <xf numFmtId="170" fontId="0" fillId="0" borderId="0" xfId="0" applyNumberFormat="1"/>
    <xf numFmtId="2" fontId="0" fillId="0" borderId="0" xfId="0" applyNumberFormat="1"/>
    <xf numFmtId="3" fontId="24" fillId="0" borderId="0" xfId="0" applyNumberFormat="1" applyFont="1"/>
    <xf numFmtId="166" fontId="25" fillId="0" borderId="0" xfId="8" applyNumberFormat="1" applyFont="1"/>
    <xf numFmtId="0" fontId="25" fillId="0" borderId="0" xfId="0" applyFont="1" applyAlignment="1">
      <alignment vertical="center"/>
    </xf>
    <xf numFmtId="166" fontId="0" fillId="0" borderId="0" xfId="8" applyNumberFormat="1" applyFont="1" applyBorder="1"/>
    <xf numFmtId="3" fontId="0" fillId="0" borderId="1" xfId="0" applyNumberFormat="1" applyBorder="1"/>
    <xf numFmtId="166" fontId="0" fillId="0" borderId="1" xfId="8" applyNumberFormat="1" applyFont="1" applyBorder="1"/>
    <xf numFmtId="9" fontId="0" fillId="0" borderId="0" xfId="8" applyNumberFormat="1" applyFont="1" applyBorder="1"/>
    <xf numFmtId="166" fontId="23" fillId="4" borderId="0" xfId="8" applyNumberFormat="1" applyFont="1" applyFill="1" applyBorder="1"/>
    <xf numFmtId="0" fontId="0" fillId="6" borderId="0" xfId="0" applyFill="1"/>
    <xf numFmtId="175" fontId="6" fillId="0" borderId="3" xfId="6" applyNumberFormat="1" applyFont="1" applyFill="1" applyBorder="1"/>
    <xf numFmtId="2" fontId="6" fillId="0" borderId="0" xfId="6" applyNumberFormat="1" applyFont="1" applyFill="1" applyBorder="1" applyProtection="1"/>
    <xf numFmtId="2" fontId="6" fillId="0" borderId="1" xfId="7" applyNumberFormat="1" applyFont="1" applyFill="1" applyBorder="1"/>
    <xf numFmtId="2" fontId="6" fillId="0" borderId="0" xfId="7" applyNumberFormat="1" applyFont="1" applyFill="1" applyBorder="1"/>
    <xf numFmtId="2" fontId="6" fillId="0" borderId="3" xfId="6" applyNumberFormat="1" applyFont="1" applyFill="1" applyBorder="1"/>
    <xf numFmtId="44" fontId="0" fillId="0" borderId="0" xfId="0" applyNumberFormat="1"/>
    <xf numFmtId="165" fontId="6" fillId="0" borderId="0" xfId="8" applyFont="1" applyFill="1" applyBorder="1" applyProtection="1"/>
    <xf numFmtId="165" fontId="6" fillId="0" borderId="1" xfId="8" applyFont="1" applyFill="1" applyBorder="1"/>
    <xf numFmtId="0" fontId="23" fillId="4" borderId="0" xfId="0" applyFont="1" applyFill="1"/>
    <xf numFmtId="44" fontId="23" fillId="4" borderId="0" xfId="0" applyNumberFormat="1" applyFont="1" applyFill="1"/>
    <xf numFmtId="0" fontId="0" fillId="0" borderId="0" xfId="1" applyNumberFormat="1" applyFont="1"/>
    <xf numFmtId="43" fontId="23" fillId="4" borderId="0" xfId="0" applyNumberFormat="1" applyFont="1" applyFill="1"/>
    <xf numFmtId="0" fontId="9" fillId="2" borderId="0" xfId="0" applyFont="1" applyFill="1" applyAlignment="1">
      <alignment horizontal="center" vertical="top"/>
    </xf>
    <xf numFmtId="0" fontId="26" fillId="0" borderId="0" xfId="0" applyFont="1"/>
  </cellXfs>
  <cellStyles count="9">
    <cellStyle name="Comma" xfId="8" builtinId="3"/>
    <cellStyle name="Comma 2" xfId="3" xr:uid="{B09E9F16-CE96-4740-9F89-337CCE9B9A18}"/>
    <cellStyle name="Comma 2 2" xfId="7" xr:uid="{2C6585CE-CE45-4812-AC5B-41FC4284383D}"/>
    <cellStyle name="Currency 2" xfId="6" xr:uid="{F1D392C2-F59F-4274-A707-C9E78A476783}"/>
    <cellStyle name="Normal" xfId="0" builtinId="0"/>
    <cellStyle name="Normal 2" xfId="2" xr:uid="{F4A99D94-FC56-4919-8056-34DD211EAD98}"/>
    <cellStyle name="Normal 3" xfId="5" xr:uid="{A3B74C53-95BF-4274-AAE6-C34887BFE3F5}"/>
    <cellStyle name="Normal_BalanceSheets" xfId="4" xr:uid="{FFACE32C-33C4-4B80-B814-45D253FF7332}"/>
    <cellStyle name="Percent" xfId="1" builtinId="5"/>
  </cellStyles>
  <dxfs count="0"/>
  <tableStyles count="0" defaultTableStyle="TableStyleMedium2" defaultPivotStyle="PivotStyleLight16"/>
  <colors>
    <mruColors>
      <color rgb="FFFFDB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552450</xdr:colOff>
      <xdr:row>8</xdr:row>
      <xdr:rowOff>172456</xdr:rowOff>
    </xdr:from>
    <xdr:to>
      <xdr:col>21</xdr:col>
      <xdr:colOff>425450</xdr:colOff>
      <xdr:row>37</xdr:row>
      <xdr:rowOff>25620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CA8163-7351-4252-BBF4-631990BFC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6310" y="1757416"/>
          <a:ext cx="7797800" cy="52786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6350</xdr:colOff>
      <xdr:row>13</xdr:row>
      <xdr:rowOff>133350</xdr:rowOff>
    </xdr:from>
    <xdr:to>
      <xdr:col>12</xdr:col>
      <xdr:colOff>219</xdr:colOff>
      <xdr:row>23</xdr:row>
      <xdr:rowOff>114394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34BE69-71C2-41BD-B61C-3918EFE1D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5750" y="2527300"/>
          <a:ext cx="4261069" cy="182254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350520</xdr:colOff>
      <xdr:row>8</xdr:row>
      <xdr:rowOff>646</xdr:rowOff>
    </xdr:from>
    <xdr:to>
      <xdr:col>9</xdr:col>
      <xdr:colOff>280670</xdr:colOff>
      <xdr:row>16</xdr:row>
      <xdr:rowOff>129931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EB5145-9C54-47C6-A939-E0B8E374C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5940" y="1738006"/>
          <a:ext cx="2368550" cy="1592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E19C0-8546-4D77-BCC4-2A49E4CD2A94}">
  <dimension ref="A1:G19"/>
  <sheetViews>
    <sheetView tabSelected="1" zoomScale="90" zoomScaleNormal="90" workbookViewId="0">
      <selection activeCell="E23" sqref="E23"/>
    </sheetView>
  </sheetViews>
  <sheetFormatPr defaultColWidth="9.109375" defaultRowHeight="12.75" customHeight="1" x14ac:dyDescent="0.3"/>
  <cols>
    <col min="1" max="1" width="35" style="2" bestFit="1" customWidth="1"/>
    <col min="2" max="4" width="14" style="2" bestFit="1" customWidth="1"/>
    <col min="5" max="6" width="10.21875" style="2" bestFit="1" customWidth="1"/>
    <col min="7" max="16384" width="9.109375" style="2"/>
  </cols>
  <sheetData>
    <row r="1" spans="1:7" ht="15.6" x14ac:dyDescent="0.3">
      <c r="A1" s="1" t="s">
        <v>0</v>
      </c>
    </row>
    <row r="2" spans="1:7" ht="24" x14ac:dyDescent="0.25">
      <c r="A2" s="3" t="s">
        <v>1</v>
      </c>
      <c r="B2" s="4" t="s">
        <v>2</v>
      </c>
      <c r="C2" s="4" t="s">
        <v>3</v>
      </c>
      <c r="D2" s="4" t="s">
        <v>4</v>
      </c>
      <c r="F2" s="5"/>
      <c r="G2" s="6"/>
    </row>
    <row r="3" spans="1:7" ht="12.75" customHeight="1" x14ac:dyDescent="0.3">
      <c r="A3" s="7" t="s">
        <v>5</v>
      </c>
      <c r="B3" s="8">
        <v>15794341</v>
      </c>
      <c r="C3" s="8">
        <v>20156447</v>
      </c>
      <c r="D3" s="8">
        <v>24996056</v>
      </c>
      <c r="F3" s="5"/>
      <c r="G3" s="6"/>
    </row>
    <row r="4" spans="1:7" ht="12.75" customHeight="1" x14ac:dyDescent="0.3">
      <c r="A4" s="9" t="s">
        <v>6</v>
      </c>
      <c r="B4" s="8">
        <v>9967538</v>
      </c>
      <c r="C4" s="8">
        <v>12440213</v>
      </c>
      <c r="D4" s="8">
        <v>15276319</v>
      </c>
      <c r="F4" s="5"/>
      <c r="G4" s="6"/>
    </row>
    <row r="5" spans="1:7" ht="12.75" customHeight="1" x14ac:dyDescent="0.3">
      <c r="A5" s="9" t="s">
        <v>7</v>
      </c>
      <c r="B5" s="8">
        <v>2369469</v>
      </c>
      <c r="C5" s="8">
        <v>2652462</v>
      </c>
      <c r="D5" s="8">
        <v>2228362</v>
      </c>
      <c r="F5" s="5"/>
      <c r="G5" s="6"/>
    </row>
    <row r="6" spans="1:7" ht="12.75" customHeight="1" x14ac:dyDescent="0.3">
      <c r="A6" s="9" t="s">
        <v>8</v>
      </c>
      <c r="B6" s="8">
        <v>1221814</v>
      </c>
      <c r="C6" s="8">
        <v>1545149</v>
      </c>
      <c r="D6" s="8">
        <v>1829600</v>
      </c>
      <c r="F6" s="5"/>
      <c r="G6" s="6"/>
    </row>
    <row r="7" spans="1:7" ht="12.75" customHeight="1" x14ac:dyDescent="0.3">
      <c r="A7" s="9" t="s">
        <v>9</v>
      </c>
      <c r="B7" s="8">
        <v>630294</v>
      </c>
      <c r="C7" s="8">
        <v>914369</v>
      </c>
      <c r="D7" s="8">
        <v>1076486</v>
      </c>
      <c r="F7" s="5"/>
      <c r="G7" s="6"/>
    </row>
    <row r="8" spans="1:7" ht="12.75" customHeight="1" x14ac:dyDescent="0.3">
      <c r="A8" s="10" t="s">
        <v>10</v>
      </c>
      <c r="B8" s="8">
        <v>1605226</v>
      </c>
      <c r="C8" s="8">
        <v>2604254</v>
      </c>
      <c r="D8" s="8">
        <v>4585289</v>
      </c>
      <c r="F8" s="5"/>
      <c r="G8" s="6"/>
    </row>
    <row r="9" spans="1:7" ht="12.75" customHeight="1" x14ac:dyDescent="0.3">
      <c r="A9" s="7" t="s">
        <v>11</v>
      </c>
      <c r="B9" s="8"/>
      <c r="C9" s="8"/>
      <c r="D9" s="8"/>
      <c r="F9" s="5"/>
      <c r="G9" s="6"/>
    </row>
    <row r="10" spans="1:7" ht="12.75" customHeight="1" x14ac:dyDescent="0.3">
      <c r="A10" s="11" t="s">
        <v>12</v>
      </c>
      <c r="B10" s="8">
        <v>-420493</v>
      </c>
      <c r="C10" s="8">
        <v>-626023</v>
      </c>
      <c r="D10" s="8">
        <v>-767499</v>
      </c>
      <c r="F10" s="5"/>
      <c r="G10" s="11"/>
    </row>
    <row r="11" spans="1:7" ht="12.75" customHeight="1" x14ac:dyDescent="0.3">
      <c r="A11" s="11" t="s">
        <v>13</v>
      </c>
      <c r="B11" s="8">
        <v>41725</v>
      </c>
      <c r="C11" s="8">
        <v>84000</v>
      </c>
      <c r="D11" s="8">
        <v>-618441</v>
      </c>
      <c r="F11" s="5"/>
      <c r="G11" s="6"/>
    </row>
    <row r="12" spans="1:7" ht="12.75" customHeight="1" x14ac:dyDescent="0.3">
      <c r="A12" s="12" t="s">
        <v>14</v>
      </c>
      <c r="B12" s="8">
        <v>1226458</v>
      </c>
      <c r="C12" s="8">
        <v>2062231</v>
      </c>
      <c r="D12" s="8">
        <v>3199349</v>
      </c>
      <c r="F12" s="5"/>
      <c r="G12" s="6"/>
    </row>
    <row r="13" spans="1:7" ht="12.75" customHeight="1" x14ac:dyDescent="0.3">
      <c r="A13" s="12" t="s">
        <v>15</v>
      </c>
      <c r="B13" s="8">
        <v>-15216</v>
      </c>
      <c r="C13" s="8">
        <v>-195315</v>
      </c>
      <c r="D13" s="8">
        <v>-437954</v>
      </c>
      <c r="F13" s="5"/>
      <c r="G13" s="6"/>
    </row>
    <row r="14" spans="1:7" ht="12.75" customHeight="1" x14ac:dyDescent="0.3">
      <c r="A14" s="12" t="s">
        <v>16</v>
      </c>
      <c r="B14" s="8">
        <v>1211242</v>
      </c>
      <c r="C14" s="8">
        <v>1866916</v>
      </c>
      <c r="D14" s="8">
        <v>2761395</v>
      </c>
      <c r="F14" s="5"/>
      <c r="G14" s="6"/>
    </row>
    <row r="15" spans="1:7" ht="12.75" customHeight="1" x14ac:dyDescent="0.3">
      <c r="A15" s="7"/>
      <c r="B15" s="7"/>
      <c r="C15" s="7"/>
      <c r="D15" s="7"/>
      <c r="E15" s="5"/>
      <c r="F15" s="5"/>
      <c r="G15" s="6"/>
    </row>
    <row r="16" spans="1:7" ht="12.75" customHeight="1" x14ac:dyDescent="0.3">
      <c r="A16" s="7"/>
      <c r="B16" s="7"/>
      <c r="C16" s="7"/>
      <c r="D16" s="7"/>
      <c r="E16" s="7"/>
      <c r="F16" s="5"/>
      <c r="G16" s="7"/>
    </row>
    <row r="17" spans="1:7" ht="12.75" customHeight="1" x14ac:dyDescent="0.3">
      <c r="A17" s="7"/>
      <c r="B17" s="7"/>
      <c r="C17" s="7"/>
      <c r="D17" s="7"/>
      <c r="E17" s="7"/>
      <c r="F17" s="5"/>
      <c r="G17" s="7"/>
    </row>
    <row r="18" spans="1:7" ht="12.75" customHeight="1" x14ac:dyDescent="0.3">
      <c r="A18" s="7"/>
      <c r="B18" s="5"/>
      <c r="C18" s="5"/>
      <c r="D18" s="5"/>
      <c r="F18" s="5"/>
      <c r="G18" s="6"/>
    </row>
    <row r="19" spans="1:7" ht="12.75" customHeight="1" x14ac:dyDescent="0.3">
      <c r="A19" s="7"/>
      <c r="B19" s="5"/>
      <c r="C19" s="5"/>
      <c r="D19" s="5"/>
      <c r="F19" s="5"/>
      <c r="G19" s="6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B96F3-1C89-421C-9DA6-7556E51A6001}">
  <dimension ref="A1:K33"/>
  <sheetViews>
    <sheetView zoomScale="90" zoomScaleNormal="90" workbookViewId="0">
      <selection activeCell="E14" sqref="E14"/>
    </sheetView>
  </sheetViews>
  <sheetFormatPr defaultColWidth="9.109375" defaultRowHeight="13.2" x14ac:dyDescent="0.3"/>
  <cols>
    <col min="1" max="1" width="45.21875" style="5" bestFit="1" customWidth="1"/>
    <col min="2" max="4" width="12.77734375" style="5" bestFit="1" customWidth="1"/>
    <col min="5" max="5" width="9.109375" style="5"/>
    <col min="6" max="7" width="11.33203125" style="5" bestFit="1" customWidth="1"/>
    <col min="8" max="8" width="12" style="5" bestFit="1" customWidth="1"/>
    <col min="9" max="10" width="10.21875" style="5" bestFit="1" customWidth="1"/>
    <col min="11" max="16384" width="9.109375" style="5"/>
  </cols>
  <sheetData>
    <row r="1" spans="1:11" ht="15.6" x14ac:dyDescent="0.3">
      <c r="A1" s="1" t="s">
        <v>17</v>
      </c>
    </row>
    <row r="3" spans="1:11" ht="24" x14ac:dyDescent="0.25">
      <c r="A3" s="3" t="s">
        <v>1</v>
      </c>
      <c r="B3" s="4" t="s">
        <v>2</v>
      </c>
      <c r="C3" s="4" t="s">
        <v>3</v>
      </c>
      <c r="D3" s="4" t="s">
        <v>4</v>
      </c>
    </row>
    <row r="4" spans="1:11" x14ac:dyDescent="0.25">
      <c r="A4" s="13" t="s">
        <v>18</v>
      </c>
      <c r="B4" s="2"/>
      <c r="C4" s="2"/>
      <c r="D4" s="2"/>
      <c r="E4" s="14"/>
      <c r="F4" s="14"/>
      <c r="G4" s="2"/>
      <c r="H4" s="2"/>
      <c r="I4" s="2"/>
      <c r="J4" s="2"/>
      <c r="K4" s="2"/>
    </row>
    <row r="5" spans="1:11" x14ac:dyDescent="0.25">
      <c r="A5" s="14" t="s">
        <v>19</v>
      </c>
      <c r="B5" s="14"/>
      <c r="C5" s="15"/>
      <c r="D5" s="15"/>
      <c r="E5" s="14"/>
      <c r="F5" s="14"/>
      <c r="G5" s="2"/>
      <c r="H5" s="2"/>
      <c r="I5" s="2"/>
      <c r="J5" s="2"/>
      <c r="K5" s="2"/>
    </row>
    <row r="6" spans="1:11" x14ac:dyDescent="0.25">
      <c r="A6" s="14" t="s">
        <v>20</v>
      </c>
      <c r="B6" s="16">
        <v>3794483</v>
      </c>
      <c r="C6" s="17">
        <v>5018437</v>
      </c>
      <c r="D6" s="17">
        <v>8205550</v>
      </c>
      <c r="E6" s="14"/>
      <c r="F6" s="14" t="s">
        <v>63</v>
      </c>
      <c r="G6" s="2"/>
      <c r="H6" s="2"/>
      <c r="I6" s="2"/>
      <c r="J6" s="2"/>
      <c r="K6" s="2"/>
    </row>
    <row r="7" spans="1:11" x14ac:dyDescent="0.25">
      <c r="A7" s="14" t="s">
        <v>21</v>
      </c>
      <c r="B7" s="16">
        <f>748466+5151186</f>
        <v>5899652</v>
      </c>
      <c r="C7" s="18">
        <v>1160067</v>
      </c>
      <c r="D7" s="18">
        <v>1556030</v>
      </c>
      <c r="E7" s="14"/>
      <c r="F7" s="14" t="s">
        <v>58</v>
      </c>
      <c r="G7" s="2"/>
      <c r="H7" s="2"/>
      <c r="I7" s="2"/>
      <c r="J7" s="2"/>
      <c r="K7" s="2"/>
    </row>
    <row r="8" spans="1:11" x14ac:dyDescent="0.25">
      <c r="A8" s="14" t="s">
        <v>22</v>
      </c>
      <c r="B8" s="19">
        <f>SUM(B6:B7)</f>
        <v>9694135</v>
      </c>
      <c r="C8" s="20">
        <f>SUM(C6:C7)</f>
        <v>6178504</v>
      </c>
      <c r="D8" s="20">
        <f>SUM(D6:D7)</f>
        <v>9761580</v>
      </c>
      <c r="E8" s="14"/>
      <c r="F8" s="2"/>
      <c r="G8" s="2"/>
      <c r="H8" s="2"/>
      <c r="I8" s="2"/>
      <c r="J8" s="2"/>
      <c r="K8" s="2"/>
    </row>
    <row r="9" spans="1:11" x14ac:dyDescent="0.25">
      <c r="A9" s="14" t="s">
        <v>23</v>
      </c>
      <c r="B9" s="16">
        <v>14951141</v>
      </c>
      <c r="C9" s="20">
        <v>24504567</v>
      </c>
      <c r="D9" s="20">
        <v>25383950</v>
      </c>
      <c r="E9" s="14"/>
      <c r="F9" s="14" t="s">
        <v>64</v>
      </c>
      <c r="G9" s="2"/>
      <c r="H9" s="2"/>
      <c r="I9" s="2"/>
      <c r="J9" s="2"/>
      <c r="K9" s="2"/>
    </row>
    <row r="10" spans="1:11" x14ac:dyDescent="0.25">
      <c r="A10" s="14" t="s">
        <v>24</v>
      </c>
      <c r="B10" s="16">
        <v>418281</v>
      </c>
      <c r="C10" s="20">
        <v>565221</v>
      </c>
      <c r="D10" s="20">
        <v>960183</v>
      </c>
      <c r="E10" s="14"/>
      <c r="F10" s="52" t="s">
        <v>64</v>
      </c>
      <c r="G10" s="21"/>
      <c r="H10" s="21"/>
      <c r="I10" s="2"/>
      <c r="J10" s="2"/>
      <c r="K10" s="2"/>
    </row>
    <row r="11" spans="1:11" x14ac:dyDescent="0.25">
      <c r="A11" s="14" t="s">
        <v>25</v>
      </c>
      <c r="B11" s="16">
        <v>910843</v>
      </c>
      <c r="C11" s="20">
        <v>2727420</v>
      </c>
      <c r="D11" s="20">
        <v>3174646</v>
      </c>
      <c r="E11" s="14"/>
      <c r="F11" s="21"/>
      <c r="G11" s="21"/>
      <c r="H11" s="21"/>
      <c r="I11" s="2"/>
      <c r="J11" s="2"/>
      <c r="K11" s="2"/>
    </row>
    <row r="12" spans="1:11" ht="13.8" thickBot="1" x14ac:dyDescent="0.3">
      <c r="A12" s="13" t="s">
        <v>26</v>
      </c>
      <c r="B12" s="22">
        <f>SUM(B8:B11)</f>
        <v>25974400</v>
      </c>
      <c r="C12" s="22">
        <f>SUM(C8:C11)</f>
        <v>33975712</v>
      </c>
      <c r="D12" s="22">
        <f>SUM(D8:D11)</f>
        <v>39280359</v>
      </c>
      <c r="E12" s="13"/>
      <c r="F12" s="21"/>
      <c r="G12" s="21"/>
      <c r="H12" s="21"/>
      <c r="I12" s="2"/>
      <c r="J12" s="2"/>
      <c r="K12" s="2"/>
    </row>
    <row r="13" spans="1:11" x14ac:dyDescent="0.25">
      <c r="A13" s="13"/>
      <c r="B13" s="23"/>
      <c r="C13" s="23"/>
      <c r="D13" s="23"/>
      <c r="E13" s="13"/>
      <c r="F13" s="2"/>
      <c r="G13" s="2"/>
      <c r="H13" s="2"/>
      <c r="I13" s="2"/>
      <c r="J13" s="2"/>
      <c r="K13" s="2"/>
    </row>
    <row r="14" spans="1:11" x14ac:dyDescent="0.25">
      <c r="A14" s="13" t="s">
        <v>27</v>
      </c>
      <c r="B14" s="14"/>
      <c r="C14" s="24"/>
      <c r="D14" s="24"/>
      <c r="E14" s="14"/>
      <c r="F14" s="14"/>
      <c r="G14" s="2"/>
      <c r="H14" s="2"/>
      <c r="I14" s="2"/>
      <c r="J14" s="2"/>
      <c r="K14" s="2"/>
    </row>
    <row r="15" spans="1:11" x14ac:dyDescent="0.25">
      <c r="A15" s="14" t="s">
        <v>28</v>
      </c>
      <c r="B15" s="14"/>
      <c r="C15" s="20"/>
      <c r="D15" s="20"/>
      <c r="E15" s="14"/>
      <c r="F15" s="14"/>
      <c r="G15" s="2"/>
      <c r="H15" s="2"/>
      <c r="I15" s="2"/>
      <c r="J15" s="2"/>
      <c r="K15" s="2"/>
    </row>
    <row r="16" spans="1:11" x14ac:dyDescent="0.25">
      <c r="A16" s="14" t="s">
        <v>29</v>
      </c>
      <c r="B16" s="16">
        <v>4681562</v>
      </c>
      <c r="C16" s="17">
        <v>4413561</v>
      </c>
      <c r="D16" s="17">
        <v>4429536</v>
      </c>
      <c r="E16" s="14"/>
      <c r="F16" s="25"/>
      <c r="G16" s="2"/>
      <c r="H16" s="26"/>
      <c r="I16" s="27"/>
      <c r="K16" s="2"/>
    </row>
    <row r="17" spans="1:11" x14ac:dyDescent="0.25">
      <c r="A17" s="14" t="s">
        <v>30</v>
      </c>
      <c r="B17" s="16">
        <v>562985</v>
      </c>
      <c r="C17" s="20">
        <v>674347</v>
      </c>
      <c r="D17" s="20">
        <v>656183</v>
      </c>
      <c r="E17" s="14"/>
      <c r="F17" s="14" t="s">
        <v>58</v>
      </c>
      <c r="G17" s="2"/>
      <c r="H17" s="26"/>
      <c r="I17" s="27"/>
      <c r="K17" s="2"/>
    </row>
    <row r="18" spans="1:11" x14ac:dyDescent="0.25">
      <c r="A18" s="14" t="s">
        <v>31</v>
      </c>
      <c r="B18" s="16">
        <v>481874</v>
      </c>
      <c r="C18" s="20">
        <v>843043</v>
      </c>
      <c r="D18" s="20">
        <v>1102196</v>
      </c>
      <c r="E18" s="14"/>
      <c r="F18" s="14"/>
      <c r="G18" s="2"/>
      <c r="H18" s="2"/>
      <c r="I18" s="2"/>
      <c r="J18" s="2"/>
      <c r="K18" s="2"/>
    </row>
    <row r="19" spans="1:11" x14ac:dyDescent="0.25">
      <c r="A19" s="14" t="s">
        <v>32</v>
      </c>
      <c r="B19" s="16">
        <v>760899</v>
      </c>
      <c r="C19" s="20">
        <v>924745</v>
      </c>
      <c r="D19" s="20">
        <v>1117992</v>
      </c>
      <c r="E19" s="14"/>
      <c r="F19" s="14"/>
      <c r="G19" s="2"/>
      <c r="H19" s="2"/>
      <c r="I19" s="2"/>
      <c r="J19" s="2"/>
      <c r="K19" s="2"/>
    </row>
    <row r="20" spans="1:11" x14ac:dyDescent="0.25">
      <c r="A20" s="14" t="s">
        <v>33</v>
      </c>
      <c r="B20" s="18">
        <v>0</v>
      </c>
      <c r="C20" s="18">
        <v>0</v>
      </c>
      <c r="D20" s="18">
        <v>499878</v>
      </c>
      <c r="E20" s="14"/>
      <c r="F20" s="14"/>
      <c r="G20" s="2"/>
      <c r="H20" s="2"/>
      <c r="I20" s="2"/>
      <c r="J20" s="2"/>
      <c r="K20" s="2"/>
    </row>
    <row r="21" spans="1:11" x14ac:dyDescent="0.25">
      <c r="A21" s="14" t="s">
        <v>34</v>
      </c>
      <c r="B21" s="19">
        <f>SUM(B16:B20)</f>
        <v>6487320</v>
      </c>
      <c r="C21" s="20">
        <f>SUM(C16:C20)</f>
        <v>6855696</v>
      </c>
      <c r="D21" s="20">
        <f>SUM(D16:D20)</f>
        <v>7805785</v>
      </c>
      <c r="E21" s="14"/>
      <c r="F21" s="2"/>
      <c r="G21" s="2"/>
      <c r="H21" s="2"/>
      <c r="I21" s="2"/>
      <c r="J21" s="2"/>
      <c r="K21" s="2"/>
    </row>
    <row r="22" spans="1:11" x14ac:dyDescent="0.25">
      <c r="A22" s="14" t="s">
        <v>35</v>
      </c>
      <c r="B22" s="16">
        <v>3759026</v>
      </c>
      <c r="C22" s="20">
        <v>3334323</v>
      </c>
      <c r="D22" s="20">
        <v>2618084</v>
      </c>
      <c r="E22" s="14"/>
      <c r="F22" s="14"/>
      <c r="G22" s="2"/>
      <c r="H22" s="2"/>
      <c r="I22" s="2"/>
      <c r="J22" s="2"/>
      <c r="K22" s="2"/>
    </row>
    <row r="23" spans="1:11" x14ac:dyDescent="0.25">
      <c r="A23" s="14" t="s">
        <v>36</v>
      </c>
      <c r="B23" s="16">
        <v>10360058</v>
      </c>
      <c r="C23" s="20">
        <v>14759260</v>
      </c>
      <c r="D23" s="20">
        <v>15809095</v>
      </c>
      <c r="E23" s="14"/>
      <c r="F23" s="14"/>
      <c r="G23" s="21"/>
      <c r="H23" s="2"/>
      <c r="I23" s="2"/>
      <c r="J23" s="2"/>
      <c r="K23" s="2"/>
    </row>
    <row r="24" spans="1:11" x14ac:dyDescent="0.25">
      <c r="A24" s="14" t="s">
        <v>37</v>
      </c>
      <c r="B24" s="16">
        <v>129231</v>
      </c>
      <c r="C24" s="18">
        <v>1444276</v>
      </c>
      <c r="D24" s="18">
        <v>1982155</v>
      </c>
      <c r="E24" s="14"/>
      <c r="F24" s="25"/>
      <c r="G24" s="25"/>
      <c r="H24" s="25"/>
      <c r="I24" s="2"/>
      <c r="J24" s="2"/>
      <c r="K24" s="2"/>
    </row>
    <row r="25" spans="1:11" x14ac:dyDescent="0.25">
      <c r="A25" s="13" t="s">
        <v>38</v>
      </c>
      <c r="B25" s="19">
        <f>SUM(B21:B24)</f>
        <v>20735635</v>
      </c>
      <c r="C25" s="20">
        <f>SUM(C21:C24)</f>
        <v>26393555</v>
      </c>
      <c r="D25" s="20">
        <f>SUM(D21:D24)</f>
        <v>28215119</v>
      </c>
      <c r="E25" s="14"/>
      <c r="F25" s="2"/>
      <c r="G25" s="2"/>
      <c r="H25" s="2"/>
      <c r="I25" s="2"/>
      <c r="J25" s="2"/>
      <c r="K25" s="2"/>
    </row>
    <row r="26" spans="1:11" x14ac:dyDescent="0.25">
      <c r="A26" s="14" t="s">
        <v>39</v>
      </c>
      <c r="B26" s="14"/>
      <c r="C26" s="20"/>
      <c r="D26" s="20"/>
      <c r="E26" s="14"/>
      <c r="F26" s="14"/>
      <c r="G26" s="2"/>
      <c r="H26" s="2"/>
      <c r="I26" s="2"/>
      <c r="J26" s="2"/>
      <c r="K26" s="2"/>
    </row>
    <row r="27" spans="1:11" x14ac:dyDescent="0.25">
      <c r="A27" s="14" t="s">
        <v>40</v>
      </c>
      <c r="B27" s="20">
        <v>2315988</v>
      </c>
      <c r="C27" s="20">
        <v>2793929</v>
      </c>
      <c r="D27" s="20">
        <v>3447698</v>
      </c>
      <c r="E27" s="28"/>
      <c r="F27" s="2"/>
      <c r="G27" s="2"/>
      <c r="H27" s="2"/>
      <c r="I27" s="2"/>
      <c r="J27" s="2"/>
      <c r="K27" s="2"/>
    </row>
    <row r="28" spans="1:11" x14ac:dyDescent="0.25">
      <c r="A28" s="14" t="s">
        <v>41</v>
      </c>
      <c r="B28" s="28"/>
      <c r="C28" s="20">
        <v>0</v>
      </c>
      <c r="D28" s="20">
        <v>0</v>
      </c>
      <c r="E28" s="28"/>
      <c r="F28" s="2"/>
      <c r="G28" s="2"/>
      <c r="H28" s="2"/>
      <c r="I28" s="2"/>
      <c r="J28" s="2"/>
      <c r="K28" s="2"/>
    </row>
    <row r="29" spans="1:11" x14ac:dyDescent="0.25">
      <c r="A29" s="14" t="s">
        <v>42</v>
      </c>
      <c r="B29" s="20">
        <v>-19582</v>
      </c>
      <c r="C29" s="20">
        <v>-23521</v>
      </c>
      <c r="D29" s="20">
        <v>44398</v>
      </c>
      <c r="E29" s="14"/>
      <c r="F29" s="2"/>
      <c r="G29" s="2"/>
      <c r="H29" s="2"/>
      <c r="I29" s="2"/>
      <c r="J29" s="2"/>
      <c r="K29" s="2"/>
    </row>
    <row r="30" spans="1:11" x14ac:dyDescent="0.25">
      <c r="A30" s="14" t="s">
        <v>43</v>
      </c>
      <c r="B30" s="16">
        <v>2942359</v>
      </c>
      <c r="C30" s="18">
        <v>4811749</v>
      </c>
      <c r="D30" s="18">
        <v>7573144</v>
      </c>
      <c r="E30" s="14"/>
      <c r="F30" s="2"/>
      <c r="G30" s="21"/>
      <c r="H30" s="21"/>
      <c r="I30" s="2"/>
      <c r="J30" s="2"/>
      <c r="K30" s="2"/>
    </row>
    <row r="31" spans="1:11" x14ac:dyDescent="0.25">
      <c r="A31" s="13" t="s">
        <v>44</v>
      </c>
      <c r="B31" s="29">
        <f>SUM(B27:B30)</f>
        <v>5238765</v>
      </c>
      <c r="C31" s="20">
        <f>SUM(C27:C30)</f>
        <v>7582157</v>
      </c>
      <c r="D31" s="20">
        <f>SUM(D27:D30)</f>
        <v>11065240</v>
      </c>
      <c r="E31" s="2"/>
      <c r="F31" s="2"/>
      <c r="G31" s="2"/>
      <c r="H31" s="2"/>
      <c r="I31" s="2"/>
      <c r="J31" s="2"/>
      <c r="K31" s="2"/>
    </row>
    <row r="32" spans="1:11" ht="13.8" thickBot="1" x14ac:dyDescent="0.3">
      <c r="A32" s="13" t="s">
        <v>45</v>
      </c>
      <c r="B32" s="22">
        <f>B25+B31</f>
        <v>25974400</v>
      </c>
      <c r="C32" s="22">
        <f>C25+C31</f>
        <v>33975712</v>
      </c>
      <c r="D32" s="22">
        <f>D25+D31</f>
        <v>39280359</v>
      </c>
      <c r="E32" s="2"/>
      <c r="F32" s="2"/>
      <c r="G32" s="2"/>
      <c r="H32" s="2"/>
      <c r="I32" s="2"/>
      <c r="J32" s="2"/>
      <c r="K32" s="2"/>
    </row>
    <row r="33" spans="1:1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C6A42-9AD1-4454-91BF-8935CEA9AF03}">
  <dimension ref="A1:K34"/>
  <sheetViews>
    <sheetView zoomScale="90" zoomScaleNormal="90" workbookViewId="0">
      <pane ySplit="2" topLeftCell="A3" activePane="bottomLeft" state="frozen"/>
      <selection activeCell="B1" sqref="B1"/>
      <selection pane="bottomLeft" activeCell="M7" sqref="M7"/>
    </sheetView>
  </sheetViews>
  <sheetFormatPr defaultRowHeight="14.4" x14ac:dyDescent="0.3"/>
  <cols>
    <col min="1" max="1" width="59.5546875" bestFit="1" customWidth="1"/>
    <col min="2" max="4" width="14.44140625" bestFit="1" customWidth="1"/>
    <col min="5" max="8" width="14.44140625" customWidth="1"/>
  </cols>
  <sheetData>
    <row r="1" spans="1:11" ht="15.6" x14ac:dyDescent="0.3">
      <c r="A1" s="30" t="s">
        <v>46</v>
      </c>
      <c r="B1" s="31"/>
      <c r="C1" s="31"/>
      <c r="D1" s="31"/>
      <c r="E1" s="78"/>
      <c r="F1" s="78"/>
      <c r="G1" s="31"/>
      <c r="H1" s="31"/>
    </row>
    <row r="2" spans="1:11" ht="24" x14ac:dyDescent="0.3">
      <c r="A2" s="32" t="s">
        <v>1</v>
      </c>
      <c r="B2" s="33" t="s">
        <v>2</v>
      </c>
      <c r="C2" s="33" t="s">
        <v>3</v>
      </c>
      <c r="D2" s="33" t="s">
        <v>4</v>
      </c>
      <c r="E2" s="33" t="s">
        <v>137</v>
      </c>
      <c r="F2" s="33" t="s">
        <v>138</v>
      </c>
      <c r="G2" s="33" t="s">
        <v>139</v>
      </c>
      <c r="H2" s="33" t="s">
        <v>140</v>
      </c>
    </row>
    <row r="3" spans="1:11" x14ac:dyDescent="0.3">
      <c r="A3" s="31" t="s">
        <v>47</v>
      </c>
      <c r="B3" s="76">
        <f>B10+B17+B24+B31</f>
        <v>15428752</v>
      </c>
      <c r="C3" s="76">
        <f t="shared" ref="C3:H3" si="0">C10+C17+C24+C31</f>
        <v>19859230</v>
      </c>
      <c r="D3" s="76">
        <f t="shared" si="0"/>
        <v>24756675</v>
      </c>
      <c r="E3" s="76">
        <f t="shared" si="0"/>
        <v>28450601.211875249</v>
      </c>
      <c r="F3" s="76">
        <f t="shared" si="0"/>
        <v>33461471.562312212</v>
      </c>
      <c r="G3" s="76">
        <f t="shared" si="0"/>
        <v>38173270.285082638</v>
      </c>
      <c r="H3" s="76">
        <f t="shared" si="0"/>
        <v>42882607.805020079</v>
      </c>
    </row>
    <row r="4" spans="1:11" x14ac:dyDescent="0.3">
      <c r="A4" s="31" t="s">
        <v>48</v>
      </c>
      <c r="B4" s="35">
        <v>365589</v>
      </c>
      <c r="C4" s="35">
        <v>297217</v>
      </c>
      <c r="D4" s="35">
        <v>239381</v>
      </c>
      <c r="E4" s="35">
        <f>D4*(1+E5)</f>
        <v>193705.83812687785</v>
      </c>
      <c r="F4" s="35">
        <f t="shared" ref="F4:H4" si="1">E4*(1+F5)</f>
        <v>156379.00173325167</v>
      </c>
      <c r="G4" s="35">
        <f t="shared" si="1"/>
        <v>126393.02674674911</v>
      </c>
      <c r="H4" s="35">
        <f t="shared" si="1"/>
        <v>102097.09627329883</v>
      </c>
    </row>
    <row r="5" spans="1:11" x14ac:dyDescent="0.3">
      <c r="A5" s="36" t="s">
        <v>49</v>
      </c>
      <c r="B5" s="31"/>
      <c r="C5" s="37">
        <f>C4/B4-1</f>
        <v>-0.18701875603478224</v>
      </c>
      <c r="D5" s="37">
        <f>D4/C4-1</f>
        <v>-0.19459183021159621</v>
      </c>
      <c r="E5" s="37">
        <f>AVERAGE(C5:D5)</f>
        <v>-0.19080529312318922</v>
      </c>
      <c r="F5" s="37">
        <f t="shared" ref="F5:H5" si="2">AVERAGE(D5:E5)</f>
        <v>-0.19269856166739271</v>
      </c>
      <c r="G5" s="37">
        <f t="shared" si="2"/>
        <v>-0.19175192739529096</v>
      </c>
      <c r="H5" s="37">
        <f t="shared" si="2"/>
        <v>-0.19222524453134182</v>
      </c>
    </row>
    <row r="6" spans="1:11" x14ac:dyDescent="0.3">
      <c r="A6" s="38" t="s">
        <v>50</v>
      </c>
      <c r="B6" s="39">
        <f>B3+B4</f>
        <v>15794341</v>
      </c>
      <c r="C6" s="39">
        <f t="shared" ref="C6:H6" si="3">C3+C4</f>
        <v>20156447</v>
      </c>
      <c r="D6" s="39">
        <f t="shared" si="3"/>
        <v>24996056</v>
      </c>
      <c r="E6" s="39">
        <f t="shared" si="3"/>
        <v>28644307.050002128</v>
      </c>
      <c r="F6" s="39">
        <f t="shared" si="3"/>
        <v>33617850.564045466</v>
      </c>
      <c r="G6" s="39">
        <f t="shared" si="3"/>
        <v>38299663.311829388</v>
      </c>
      <c r="H6" s="39">
        <f t="shared" si="3"/>
        <v>42984704.901293375</v>
      </c>
    </row>
    <row r="7" spans="1:11" x14ac:dyDescent="0.3">
      <c r="A7" s="31"/>
      <c r="B7" s="31"/>
      <c r="C7" s="31"/>
      <c r="D7" s="31"/>
      <c r="E7" s="31"/>
      <c r="F7" s="31"/>
      <c r="G7" s="31"/>
      <c r="H7" s="31"/>
    </row>
    <row r="8" spans="1:11" x14ac:dyDescent="0.3">
      <c r="A8" s="31"/>
      <c r="B8" s="31"/>
      <c r="C8" s="31"/>
      <c r="D8" s="31"/>
      <c r="E8" s="31"/>
      <c r="F8" s="31"/>
      <c r="G8" s="31"/>
      <c r="H8" s="31"/>
    </row>
    <row r="9" spans="1:11" ht="15.6" x14ac:dyDescent="0.3">
      <c r="A9" s="30" t="s">
        <v>51</v>
      </c>
      <c r="B9" s="31"/>
      <c r="C9" s="31"/>
      <c r="D9" s="31"/>
      <c r="E9" s="31"/>
      <c r="F9" s="31"/>
      <c r="G9" s="31"/>
      <c r="H9" s="31"/>
      <c r="I9" s="113" t="s">
        <v>57</v>
      </c>
      <c r="J9" s="113"/>
      <c r="K9" s="113"/>
    </row>
    <row r="10" spans="1:11" x14ac:dyDescent="0.3">
      <c r="A10" s="31" t="s">
        <v>5</v>
      </c>
      <c r="B10" s="34">
        <v>8281532</v>
      </c>
      <c r="C10" s="76">
        <v>10051208</v>
      </c>
      <c r="D10" s="76">
        <v>11455396</v>
      </c>
      <c r="E10" s="76">
        <f>E12*E11</f>
        <v>11434119.486583754</v>
      </c>
      <c r="F10" s="76">
        <f t="shared" ref="F10:H10" si="4">F12*F11</f>
        <v>12309278.929338679</v>
      </c>
      <c r="G10" s="76">
        <f t="shared" si="4"/>
        <v>13251422.458725005</v>
      </c>
      <c r="H10" s="76">
        <f t="shared" si="4"/>
        <v>14265676.989499792</v>
      </c>
      <c r="I10" s="41">
        <v>2018</v>
      </c>
      <c r="J10" s="41">
        <v>2019</v>
      </c>
      <c r="K10" s="41">
        <v>2020</v>
      </c>
    </row>
    <row r="11" spans="1:11" x14ac:dyDescent="0.3">
      <c r="A11" s="31" t="s">
        <v>52</v>
      </c>
      <c r="B11" s="40">
        <f>I11*12</f>
        <v>133.92000000000002</v>
      </c>
      <c r="C11" s="40">
        <f>J11*12</f>
        <v>150.84</v>
      </c>
      <c r="D11" s="40">
        <f t="shared" ref="D11" si="5">K11*12</f>
        <v>159.84</v>
      </c>
      <c r="E11" s="75">
        <f>AVERAGE($B$11:$D$11)</f>
        <v>148.20000000000002</v>
      </c>
      <c r="F11" s="75">
        <f t="shared" ref="F11:H11" si="6">AVERAGE($B$11:$D$11)</f>
        <v>148.20000000000002</v>
      </c>
      <c r="G11" s="75">
        <f t="shared" si="6"/>
        <v>148.20000000000002</v>
      </c>
      <c r="H11" s="75">
        <f t="shared" si="6"/>
        <v>148.20000000000002</v>
      </c>
      <c r="I11" s="42">
        <v>11.16</v>
      </c>
      <c r="J11" s="42">
        <v>12.57</v>
      </c>
      <c r="K11" s="42">
        <v>13.32</v>
      </c>
    </row>
    <row r="12" spans="1:11" x14ac:dyDescent="0.3">
      <c r="A12" s="31" t="s">
        <v>53</v>
      </c>
      <c r="B12" s="34">
        <f>B10/B11</f>
        <v>61839.396654719225</v>
      </c>
      <c r="C12" s="34">
        <f t="shared" ref="C12:D12" si="7">C10/C11</f>
        <v>66634.897905064965</v>
      </c>
      <c r="D12" s="34">
        <f t="shared" si="7"/>
        <v>71667.892892892894</v>
      </c>
      <c r="E12" s="34">
        <f>D12*(1+E13)</f>
        <v>77153.302878432878</v>
      </c>
      <c r="F12" s="34">
        <f t="shared" ref="F12:H12" si="8">E12*(1+F13)</f>
        <v>83058.56227623939</v>
      </c>
      <c r="G12" s="34">
        <f t="shared" si="8"/>
        <v>89415.806064271281</v>
      </c>
      <c r="H12" s="34">
        <f t="shared" si="8"/>
        <v>96259.628809040427</v>
      </c>
      <c r="I12" s="31"/>
      <c r="J12" s="31"/>
      <c r="K12" s="31"/>
    </row>
    <row r="13" spans="1:11" x14ac:dyDescent="0.3">
      <c r="A13" s="36" t="s">
        <v>49</v>
      </c>
      <c r="B13" s="31"/>
      <c r="C13" s="37">
        <f>C12/B12-1</f>
        <v>7.7547672030525483E-2</v>
      </c>
      <c r="D13" s="37">
        <f>D12/C12-1</f>
        <v>7.5530917673175768E-2</v>
      </c>
      <c r="E13" s="74">
        <f>AVERAGE($C$13:$D$13)</f>
        <v>7.6539294851850626E-2</v>
      </c>
      <c r="F13" s="74">
        <f t="shared" ref="F13:H13" si="9">AVERAGE($C$13:$D$13)</f>
        <v>7.6539294851850626E-2</v>
      </c>
      <c r="G13" s="74">
        <f t="shared" si="9"/>
        <v>7.6539294851850626E-2</v>
      </c>
      <c r="H13" s="74">
        <f t="shared" si="9"/>
        <v>7.6539294851850626E-2</v>
      </c>
      <c r="I13" s="31"/>
      <c r="J13" s="31"/>
      <c r="K13" s="31"/>
    </row>
    <row r="14" spans="1:11" x14ac:dyDescent="0.3">
      <c r="A14" s="31"/>
      <c r="B14" s="31"/>
      <c r="C14" s="31"/>
      <c r="D14" s="31"/>
      <c r="E14" s="31"/>
      <c r="F14" s="31"/>
      <c r="G14" s="31"/>
      <c r="H14" s="31"/>
      <c r="I14" s="43"/>
      <c r="J14" s="43"/>
      <c r="K14" s="43"/>
    </row>
    <row r="15" spans="1:11" x14ac:dyDescent="0.3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</row>
    <row r="16" spans="1:11" ht="15.6" x14ac:dyDescent="0.3">
      <c r="A16" s="30" t="s">
        <v>54</v>
      </c>
      <c r="B16" s="31"/>
      <c r="C16" s="31"/>
      <c r="D16" s="31"/>
      <c r="E16" s="31"/>
      <c r="F16" s="31"/>
      <c r="G16" s="31"/>
      <c r="H16" s="31"/>
      <c r="I16" s="113" t="s">
        <v>57</v>
      </c>
      <c r="J16" s="113"/>
      <c r="K16" s="113"/>
    </row>
    <row r="17" spans="1:11" x14ac:dyDescent="0.3">
      <c r="A17" s="31" t="s">
        <v>5</v>
      </c>
      <c r="B17" s="34">
        <v>3963707</v>
      </c>
      <c r="C17" s="34">
        <v>5543067</v>
      </c>
      <c r="D17" s="34">
        <v>7772252</v>
      </c>
      <c r="E17" s="76">
        <f>E19*E18</f>
        <v>9981422.5905182417</v>
      </c>
      <c r="F17" s="76">
        <f t="shared" ref="F17:H17" si="10">F19*F18</f>
        <v>12088960.093988623</v>
      </c>
      <c r="G17" s="76">
        <f t="shared" si="10"/>
        <v>13432599.712150544</v>
      </c>
      <c r="H17" s="76">
        <f t="shared" si="10"/>
        <v>14656927.511689028</v>
      </c>
      <c r="I17" s="41">
        <v>2018</v>
      </c>
      <c r="J17" s="41">
        <v>2019</v>
      </c>
      <c r="K17" s="41">
        <v>2020</v>
      </c>
    </row>
    <row r="18" spans="1:11" x14ac:dyDescent="0.3">
      <c r="A18" s="31" t="s">
        <v>52</v>
      </c>
      <c r="B18" s="40">
        <f>I18*12</f>
        <v>125.39999999999999</v>
      </c>
      <c r="C18" s="40">
        <f>J18*12</f>
        <v>123.96000000000001</v>
      </c>
      <c r="D18" s="40">
        <f t="shared" ref="D18" si="11">K18*12</f>
        <v>128.64000000000001</v>
      </c>
      <c r="E18" s="77">
        <f>AVERAGE($B$18:$D$18)</f>
        <v>126</v>
      </c>
      <c r="F18" s="46">
        <f t="shared" ref="F18:H18" si="12">AVERAGE($B$18:$D$18)</f>
        <v>126</v>
      </c>
      <c r="G18" s="46">
        <f t="shared" si="12"/>
        <v>126</v>
      </c>
      <c r="H18" s="46">
        <f t="shared" si="12"/>
        <v>126</v>
      </c>
      <c r="I18" s="42">
        <v>10.45</v>
      </c>
      <c r="J18" s="42">
        <v>10.33</v>
      </c>
      <c r="K18" s="42">
        <v>10.72</v>
      </c>
    </row>
    <row r="19" spans="1:11" x14ac:dyDescent="0.3">
      <c r="A19" s="31" t="s">
        <v>53</v>
      </c>
      <c r="B19" s="34">
        <f>B17/B18</f>
        <v>31608.508771929828</v>
      </c>
      <c r="C19" s="34">
        <f t="shared" ref="C19:D19" si="13">C17/C18</f>
        <v>44716.577928363986</v>
      </c>
      <c r="D19" s="34">
        <f t="shared" si="13"/>
        <v>60418.62562189054</v>
      </c>
      <c r="E19" s="34">
        <f>D19*(1+E20)</f>
        <v>79217.639607287638</v>
      </c>
      <c r="F19" s="34">
        <f t="shared" ref="F19:H19" si="14">E19*(1+F20)</f>
        <v>95944.127730068445</v>
      </c>
      <c r="G19" s="34">
        <f t="shared" si="14"/>
        <v>106607.93422341702</v>
      </c>
      <c r="H19" s="34">
        <f t="shared" si="14"/>
        <v>116324.8215213415</v>
      </c>
      <c r="I19" s="31"/>
      <c r="J19" s="31"/>
      <c r="K19" s="31"/>
    </row>
    <row r="20" spans="1:11" x14ac:dyDescent="0.3">
      <c r="A20" s="36" t="s">
        <v>49</v>
      </c>
      <c r="B20" s="31"/>
      <c r="C20" s="37">
        <f>C19/B19-1</f>
        <v>0.41470065073347828</v>
      </c>
      <c r="D20" s="37">
        <f>D19/C19-1</f>
        <v>0.35114600492643366</v>
      </c>
      <c r="E20" s="47">
        <f>D20-4%</f>
        <v>0.31114600492643368</v>
      </c>
      <c r="F20" s="47">
        <f>E20-10%</f>
        <v>0.21114600492643368</v>
      </c>
      <c r="G20" s="47">
        <f>F20-10%</f>
        <v>0.11114600492643367</v>
      </c>
      <c r="H20" s="47">
        <f>G20-2%</f>
        <v>9.1146004926433669E-2</v>
      </c>
      <c r="I20" s="31"/>
      <c r="J20" s="31"/>
      <c r="K20" s="31"/>
    </row>
    <row r="21" spans="1:11" x14ac:dyDescent="0.3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spans="1:11" x14ac:dyDescent="0.3">
      <c r="A22" s="31"/>
      <c r="B22" s="31"/>
      <c r="C22" s="31"/>
      <c r="D22" s="31"/>
      <c r="E22" s="31"/>
      <c r="F22" s="31"/>
      <c r="G22" s="31"/>
      <c r="H22" s="31"/>
      <c r="I22" s="44"/>
      <c r="J22" s="45"/>
      <c r="K22" s="45"/>
    </row>
    <row r="23" spans="1:11" ht="15.6" x14ac:dyDescent="0.3">
      <c r="A23" s="30" t="s">
        <v>55</v>
      </c>
      <c r="B23" s="31"/>
      <c r="C23" s="31"/>
      <c r="D23" s="31"/>
      <c r="E23" s="31"/>
      <c r="F23" s="31"/>
      <c r="G23" s="31"/>
      <c r="H23" s="31"/>
      <c r="I23" s="113" t="s">
        <v>57</v>
      </c>
      <c r="J23" s="113"/>
      <c r="K23" s="113"/>
    </row>
    <row r="24" spans="1:11" x14ac:dyDescent="0.3">
      <c r="A24" s="31" t="s">
        <v>5</v>
      </c>
      <c r="B24" s="35">
        <v>2237697</v>
      </c>
      <c r="C24" s="34">
        <v>2795434</v>
      </c>
      <c r="D24" s="34">
        <v>3156727</v>
      </c>
      <c r="E24" s="34">
        <f>E26*E25</f>
        <v>3842573.7972810525</v>
      </c>
      <c r="F24" s="34">
        <f t="shared" ref="F24:H24" si="15">F26*F25</f>
        <v>4429558.4850562159</v>
      </c>
      <c r="G24" s="34">
        <f t="shared" si="15"/>
        <v>4995470.9397932496</v>
      </c>
      <c r="H24" s="34">
        <f t="shared" si="15"/>
        <v>5508796.582195675</v>
      </c>
      <c r="I24" s="41">
        <v>2018</v>
      </c>
      <c r="J24" s="41">
        <v>2019</v>
      </c>
      <c r="K24" s="41">
        <v>2020</v>
      </c>
    </row>
    <row r="25" spans="1:11" x14ac:dyDescent="0.3">
      <c r="A25" s="31" t="s">
        <v>52</v>
      </c>
      <c r="B25" s="40">
        <f>I25*12</f>
        <v>111.96000000000001</v>
      </c>
      <c r="C25" s="40">
        <f>J25*12</f>
        <v>110.88</v>
      </c>
      <c r="D25" s="40">
        <f t="shared" ref="D25" si="16">K25*12</f>
        <v>109.44</v>
      </c>
      <c r="E25" s="46">
        <f>AVERAGE($B$25:$D$25)</f>
        <v>110.75999999999999</v>
      </c>
      <c r="F25" s="46">
        <f t="shared" ref="F25:H25" si="17">AVERAGE($B$25:$D$25)</f>
        <v>110.75999999999999</v>
      </c>
      <c r="G25" s="46">
        <f t="shared" si="17"/>
        <v>110.75999999999999</v>
      </c>
      <c r="H25" s="46">
        <f t="shared" si="17"/>
        <v>110.75999999999999</v>
      </c>
      <c r="I25" s="42">
        <v>9.33</v>
      </c>
      <c r="J25" s="42">
        <v>9.24</v>
      </c>
      <c r="K25" s="42">
        <v>9.1199999999999992</v>
      </c>
    </row>
    <row r="26" spans="1:11" x14ac:dyDescent="0.3">
      <c r="A26" s="31" t="s">
        <v>53</v>
      </c>
      <c r="B26" s="34">
        <f>B24/B25</f>
        <v>19986.575562700964</v>
      </c>
      <c r="C26" s="34">
        <f t="shared" ref="C26:D26" si="18">C24/C25</f>
        <v>25211.345598845601</v>
      </c>
      <c r="D26" s="34">
        <f t="shared" si="18"/>
        <v>28844.362207602338</v>
      </c>
      <c r="E26" s="34">
        <f>D26*(1+E27)</f>
        <v>34692.793402681949</v>
      </c>
      <c r="F26" s="34">
        <f t="shared" ref="F26:H26" si="19">E26*(1+F27)</f>
        <v>39992.40235695392</v>
      </c>
      <c r="G26" s="34">
        <f t="shared" si="19"/>
        <v>45101.760019801826</v>
      </c>
      <c r="H26" s="34">
        <f t="shared" si="19"/>
        <v>49736.336061716102</v>
      </c>
      <c r="I26" s="31"/>
      <c r="J26" s="31"/>
      <c r="K26" s="31"/>
    </row>
    <row r="27" spans="1:11" x14ac:dyDescent="0.3">
      <c r="A27" s="36" t="s">
        <v>49</v>
      </c>
      <c r="B27" s="31"/>
      <c r="C27" s="37">
        <f>C26/B26-1</f>
        <v>0.26141396857874577</v>
      </c>
      <c r="D27" s="37">
        <f>D26/C26-1</f>
        <v>0.14410244762671809</v>
      </c>
      <c r="E27" s="48">
        <f>AVERAGE($C$27:$D$27)</f>
        <v>0.20275820810273193</v>
      </c>
      <c r="F27" s="48">
        <f>E27-5%</f>
        <v>0.15275820810273194</v>
      </c>
      <c r="G27" s="48">
        <f>F27-2.5%</f>
        <v>0.12775820810273195</v>
      </c>
      <c r="H27" s="48">
        <f>G27-2.5%</f>
        <v>0.10275820810273195</v>
      </c>
      <c r="I27" s="31"/>
      <c r="J27" s="31"/>
      <c r="K27" s="31"/>
    </row>
    <row r="28" spans="1:11" x14ac:dyDescent="0.3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</row>
    <row r="29" spans="1:11" x14ac:dyDescent="0.3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</row>
    <row r="30" spans="1:11" ht="15.6" x14ac:dyDescent="0.3">
      <c r="A30" s="30" t="s">
        <v>56</v>
      </c>
      <c r="B30" s="31"/>
      <c r="C30" s="31"/>
      <c r="D30" s="31"/>
      <c r="E30" s="31"/>
      <c r="F30" s="31"/>
      <c r="G30" s="31"/>
      <c r="H30" s="31"/>
      <c r="I30" s="113" t="s">
        <v>57</v>
      </c>
      <c r="J30" s="113"/>
      <c r="K30" s="113"/>
    </row>
    <row r="31" spans="1:11" x14ac:dyDescent="0.3">
      <c r="A31" s="31" t="s">
        <v>5</v>
      </c>
      <c r="B31" s="35">
        <v>945816</v>
      </c>
      <c r="C31" s="34">
        <v>1469521</v>
      </c>
      <c r="D31" s="34">
        <v>2372300</v>
      </c>
      <c r="E31" s="34">
        <f>E33*E32</f>
        <v>3192485.3374921991</v>
      </c>
      <c r="F31" s="34">
        <f t="shared" ref="F31:H31" si="20">F33*F32</f>
        <v>4633674.0539286928</v>
      </c>
      <c r="G31" s="34">
        <f t="shared" si="20"/>
        <v>6493777.1744138356</v>
      </c>
      <c r="H31" s="34">
        <f t="shared" si="20"/>
        <v>8451206.7216355838</v>
      </c>
      <c r="I31" s="41">
        <v>2018</v>
      </c>
      <c r="J31" s="41">
        <v>2019</v>
      </c>
      <c r="K31" s="41">
        <v>2020</v>
      </c>
    </row>
    <row r="32" spans="1:11" x14ac:dyDescent="0.3">
      <c r="A32" s="31" t="s">
        <v>52</v>
      </c>
      <c r="B32" s="40">
        <f>I32*12</f>
        <v>133.92000000000002</v>
      </c>
      <c r="C32" s="40">
        <f>J32*12</f>
        <v>150.84</v>
      </c>
      <c r="D32" s="40">
        <f t="shared" ref="D32" si="21">K32*12</f>
        <v>159.84</v>
      </c>
      <c r="E32" s="46">
        <f>AVERAGE($B$32:$D$32)</f>
        <v>148.20000000000002</v>
      </c>
      <c r="F32" s="46">
        <f t="shared" ref="F32:H32" si="22">AVERAGE($B$32:$D$32)</f>
        <v>148.20000000000002</v>
      </c>
      <c r="G32" s="46">
        <f t="shared" si="22"/>
        <v>148.20000000000002</v>
      </c>
      <c r="H32" s="46">
        <f t="shared" si="22"/>
        <v>148.20000000000002</v>
      </c>
      <c r="I32" s="42">
        <v>11.16</v>
      </c>
      <c r="J32" s="42">
        <v>12.57</v>
      </c>
      <c r="K32" s="42">
        <v>13.32</v>
      </c>
    </row>
    <row r="33" spans="1:8" x14ac:dyDescent="0.3">
      <c r="A33" s="31" t="s">
        <v>53</v>
      </c>
      <c r="B33" s="34">
        <f>B31/B32</f>
        <v>7062.5448028673827</v>
      </c>
      <c r="C33" s="34">
        <f t="shared" ref="C33:D33" si="23">C31/C32</f>
        <v>9742.2500662954117</v>
      </c>
      <c r="D33" s="34">
        <f t="shared" si="23"/>
        <v>14841.716716716717</v>
      </c>
      <c r="E33" s="34">
        <f>D33*(1+E34)</f>
        <v>21541.736420325229</v>
      </c>
      <c r="F33" s="34">
        <f t="shared" ref="F33:H33" si="24">E33*(1+F34)</f>
        <v>31266.356639194953</v>
      </c>
      <c r="G33" s="34">
        <f t="shared" si="24"/>
        <v>43817.659746382153</v>
      </c>
      <c r="H33" s="34">
        <f t="shared" si="24"/>
        <v>57025.686380806896</v>
      </c>
    </row>
    <row r="34" spans="1:8" x14ac:dyDescent="0.3">
      <c r="A34" s="36" t="s">
        <v>49</v>
      </c>
      <c r="B34" s="31"/>
      <c r="C34" s="37">
        <f>C33/B33-1</f>
        <v>0.37942488695293974</v>
      </c>
      <c r="D34" s="37">
        <f>D33/C33-1</f>
        <v>0.52343828332466824</v>
      </c>
      <c r="E34" s="47">
        <f>AVERAGE($C$34:$D$34)</f>
        <v>0.45143158513880399</v>
      </c>
      <c r="F34" s="47">
        <f>E34</f>
        <v>0.45143158513880399</v>
      </c>
      <c r="G34" s="47">
        <f>F34-5%</f>
        <v>0.401431585138804</v>
      </c>
      <c r="H34" s="47">
        <f>G34-10%</f>
        <v>0.30143158513880397</v>
      </c>
    </row>
  </sheetData>
  <mergeCells count="4">
    <mergeCell ref="I9:K9"/>
    <mergeCell ref="I16:K16"/>
    <mergeCell ref="I23:K23"/>
    <mergeCell ref="I30:K3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98106-0F2A-418D-BC5B-865B95188EF0}">
  <dimension ref="A1:H26"/>
  <sheetViews>
    <sheetView workbookViewId="0">
      <selection activeCell="I22" sqref="I22"/>
    </sheetView>
  </sheetViews>
  <sheetFormatPr defaultRowHeight="14.4" x14ac:dyDescent="0.3"/>
  <cols>
    <col min="1" max="1" width="33.21875" bestFit="1" customWidth="1"/>
    <col min="2" max="2" width="17.21875" customWidth="1"/>
    <col min="3" max="3" width="15.109375" customWidth="1"/>
    <col min="4" max="4" width="13.5546875" customWidth="1"/>
    <col min="5" max="5" width="17.6640625" customWidth="1"/>
    <col min="6" max="6" width="17.5546875" customWidth="1"/>
    <col min="7" max="7" width="17.109375" customWidth="1"/>
    <col min="8" max="8" width="17.5546875" customWidth="1"/>
  </cols>
  <sheetData>
    <row r="1" spans="1:8" ht="15.6" x14ac:dyDescent="0.3">
      <c r="A1" s="30" t="s">
        <v>58</v>
      </c>
    </row>
    <row r="2" spans="1:8" ht="7.8" customHeight="1" x14ac:dyDescent="0.3">
      <c r="A2" s="30"/>
    </row>
    <row r="3" spans="1:8" ht="26.4" customHeight="1" thickBot="1" x14ac:dyDescent="0.35">
      <c r="A3" s="32" t="s">
        <v>1</v>
      </c>
      <c r="B3" s="79" t="s">
        <v>141</v>
      </c>
      <c r="C3" s="79" t="s">
        <v>142</v>
      </c>
      <c r="D3" s="79" t="s">
        <v>143</v>
      </c>
      <c r="E3" s="79" t="s">
        <v>144</v>
      </c>
      <c r="F3" s="79" t="s">
        <v>145</v>
      </c>
      <c r="G3" s="79" t="s">
        <v>146</v>
      </c>
      <c r="H3" s="79" t="s">
        <v>147</v>
      </c>
    </row>
    <row r="4" spans="1:8" x14ac:dyDescent="0.3">
      <c r="A4" t="s">
        <v>59</v>
      </c>
      <c r="B4" s="50">
        <f>'P&amp;L Input'!B4-Schedules!B6</f>
        <v>9884381</v>
      </c>
      <c r="C4" s="50">
        <f>'P&amp;L Input'!C4-Schedules!C6</f>
        <v>12336634</v>
      </c>
      <c r="D4" s="50">
        <f>'P&amp;L Input'!D4-Schedules!D6</f>
        <v>15160609</v>
      </c>
      <c r="E4" s="50">
        <f>'Revenue Modelling'!E6*'Other Items'!E5</f>
        <v>17610348.123559561</v>
      </c>
      <c r="F4" s="50">
        <f>'Revenue Modelling'!F6*'Other Items'!F5</f>
        <v>20668052.837347303</v>
      </c>
      <c r="G4" s="50">
        <f>'Revenue Modelling'!G6*'Other Items'!G5</f>
        <v>23546403.226269968</v>
      </c>
      <c r="H4" s="50">
        <f>'Revenue Modelling'!H6*'Other Items'!H5</f>
        <v>26426738.687686183</v>
      </c>
    </row>
    <row r="5" spans="1:8" x14ac:dyDescent="0.3">
      <c r="A5" s="49" t="s">
        <v>60</v>
      </c>
      <c r="B5" s="69">
        <f>B4/'Revenue Modelling'!B6</f>
        <v>0.6258178799609303</v>
      </c>
      <c r="C5" s="69">
        <f>C4/'Revenue Modelling'!C6</f>
        <v>0.61204407701416819</v>
      </c>
      <c r="D5" s="69">
        <f>D4/'Revenue Modelling'!D6</f>
        <v>0.60652004460223641</v>
      </c>
      <c r="E5" s="80">
        <f>AVERAGE($B$5:$D$5)</f>
        <v>0.61479400052577826</v>
      </c>
      <c r="F5" s="80">
        <f t="shared" ref="F5:H5" si="0">AVERAGE($B$5:$D$5)</f>
        <v>0.61479400052577826</v>
      </c>
      <c r="G5" s="80">
        <f t="shared" si="0"/>
        <v>0.61479400052577826</v>
      </c>
      <c r="H5" s="80">
        <f t="shared" si="0"/>
        <v>0.61479400052577826</v>
      </c>
    </row>
    <row r="7" spans="1:8" x14ac:dyDescent="0.3">
      <c r="A7" t="s">
        <v>7</v>
      </c>
      <c r="B7" s="50">
        <f>'P&amp;L Input'!B5</f>
        <v>2369469</v>
      </c>
      <c r="C7" s="50">
        <f>'P&amp;L Input'!C5</f>
        <v>2652462</v>
      </c>
      <c r="D7" s="50">
        <f>'P&amp;L Input'!D5</f>
        <v>2228362</v>
      </c>
      <c r="E7" s="50">
        <f>'Revenue Modelling'!E6*E8</f>
        <v>3540077.3062013234</v>
      </c>
      <c r="F7" s="50">
        <f>'Revenue Modelling'!F6*F8</f>
        <v>4154744.9431155245</v>
      </c>
      <c r="G7" s="50">
        <f>'Revenue Modelling'!G6*G8</f>
        <v>4733358.3140510488</v>
      </c>
      <c r="H7" s="50">
        <f>'Revenue Modelling'!H6*H8</f>
        <v>5312370.7293459615</v>
      </c>
    </row>
    <row r="8" spans="1:8" x14ac:dyDescent="0.3">
      <c r="A8" s="49" t="s">
        <v>60</v>
      </c>
      <c r="B8" s="69">
        <f>B7/'Revenue Modelling'!B6</f>
        <v>0.15002012429641731</v>
      </c>
      <c r="C8" s="69">
        <f>C7/'Revenue Modelling'!C6</f>
        <v>0.13159372780331771</v>
      </c>
      <c r="D8" s="69">
        <f>D7/'Revenue Modelling'!D6</f>
        <v>8.9148544074313163E-2</v>
      </c>
      <c r="E8" s="80">
        <f>AVERAGE($B$8:$D$8)</f>
        <v>0.12358746539134939</v>
      </c>
      <c r="F8" s="80">
        <f t="shared" ref="F8:H8" si="1">AVERAGE($B$8:$D$8)</f>
        <v>0.12358746539134939</v>
      </c>
      <c r="G8" s="80">
        <f t="shared" si="1"/>
        <v>0.12358746539134939</v>
      </c>
      <c r="H8" s="80">
        <f t="shared" si="1"/>
        <v>0.12358746539134939</v>
      </c>
    </row>
    <row r="10" spans="1:8" x14ac:dyDescent="0.3">
      <c r="A10" t="s">
        <v>61</v>
      </c>
      <c r="B10" s="50">
        <f>'P&amp;L Input'!B6</f>
        <v>1221814</v>
      </c>
      <c r="C10" s="50">
        <f>'P&amp;L Input'!C6</f>
        <v>1545149</v>
      </c>
      <c r="D10" s="50">
        <f>'P&amp;L Input'!D6</f>
        <v>1829600</v>
      </c>
      <c r="E10" s="50">
        <f>'Revenue Modelling'!E6*'Other Items'!E11</f>
        <v>2169434.4552735938</v>
      </c>
      <c r="F10" s="50">
        <f>'Revenue Modelling'!F6*'Other Items'!F11</f>
        <v>2546115.819753218</v>
      </c>
      <c r="G10" s="50">
        <f>'Revenue Modelling'!G6*'Other Items'!G11</f>
        <v>2900702.3653607448</v>
      </c>
      <c r="H10" s="50">
        <f>'Revenue Modelling'!H6*'Other Items'!H11</f>
        <v>3255533.4538150975</v>
      </c>
    </row>
    <row r="11" spans="1:8" x14ac:dyDescent="0.3">
      <c r="A11" s="49" t="s">
        <v>60</v>
      </c>
      <c r="B11" s="69">
        <f>B10/'Revenue Modelling'!B6</f>
        <v>7.7357706788779595E-2</v>
      </c>
      <c r="C11" s="69">
        <f>C10/'Revenue Modelling'!C6</f>
        <v>7.6657805812701013E-2</v>
      </c>
      <c r="D11" s="69">
        <f>D10/'Revenue Modelling'!D6</f>
        <v>7.3195547329546709E-2</v>
      </c>
      <c r="E11" s="80">
        <f>AVERAGE($B$11:$D$11)</f>
        <v>7.5737019977009101E-2</v>
      </c>
      <c r="F11" s="80">
        <f t="shared" ref="F11:H11" si="2">AVERAGE($B$11:$D$11)</f>
        <v>7.5737019977009101E-2</v>
      </c>
      <c r="G11" s="80">
        <f t="shared" si="2"/>
        <v>7.5737019977009101E-2</v>
      </c>
      <c r="H11" s="80">
        <f t="shared" si="2"/>
        <v>7.5737019977009101E-2</v>
      </c>
    </row>
    <row r="13" spans="1:8" x14ac:dyDescent="0.3">
      <c r="A13" t="s">
        <v>62</v>
      </c>
      <c r="B13" s="50">
        <f>'P&amp;L Input'!B7</f>
        <v>630294</v>
      </c>
      <c r="C13" s="50">
        <f>'P&amp;L Input'!C7</f>
        <v>914369</v>
      </c>
      <c r="D13" s="50">
        <f>'P&amp;L Input'!D7</f>
        <v>1076486</v>
      </c>
      <c r="E13" s="50">
        <f>'Revenue Modelling'!E6*'Other Items'!E14</f>
        <v>1225366.7194431941</v>
      </c>
      <c r="F13" s="50">
        <f>'Revenue Modelling'!F6*'Other Items'!F14</f>
        <v>1438128.5324335631</v>
      </c>
      <c r="G13" s="50">
        <f>'Revenue Modelling'!G6*'Other Items'!G14</f>
        <v>1638410.4773863521</v>
      </c>
      <c r="H13" s="50">
        <f>'Revenue Modelling'!H6*'Other Items'!H14</f>
        <v>1838830.5480452438</v>
      </c>
    </row>
    <row r="14" spans="1:8" x14ac:dyDescent="0.3">
      <c r="A14" s="49" t="s">
        <v>60</v>
      </c>
      <c r="B14" s="81">
        <f>B13/'Revenue Modelling'!B6</f>
        <v>3.9906318345285824E-2</v>
      </c>
      <c r="C14" s="81">
        <f>C13/'Revenue Modelling'!C6</f>
        <v>4.5363600043202057E-2</v>
      </c>
      <c r="D14" s="81">
        <f>D13/'Revenue Modelling'!D6</f>
        <v>4.3066234129096208E-2</v>
      </c>
      <c r="E14" s="80">
        <f>AVERAGE($B$14:$D$14)</f>
        <v>4.2778717505861368E-2</v>
      </c>
      <c r="F14" s="80">
        <f t="shared" ref="F14:H14" si="3">AVERAGE($B$14:$D$14)</f>
        <v>4.2778717505861368E-2</v>
      </c>
      <c r="G14" s="80">
        <f t="shared" si="3"/>
        <v>4.2778717505861368E-2</v>
      </c>
      <c r="H14" s="80">
        <f t="shared" si="3"/>
        <v>4.2778717505861368E-2</v>
      </c>
    </row>
    <row r="16" spans="1:8" x14ac:dyDescent="0.3">
      <c r="A16" t="s">
        <v>65</v>
      </c>
      <c r="B16" s="51">
        <f>'Balance Sheet Input'!B7</f>
        <v>5899652</v>
      </c>
      <c r="C16" s="51">
        <f>'Balance Sheet Input'!C7</f>
        <v>1160067</v>
      </c>
      <c r="D16" s="51">
        <f>'Balance Sheet Input'!D7</f>
        <v>1556030</v>
      </c>
      <c r="E16" s="50">
        <f>'Revenue Modelling'!E6*'Other Items'!E17</f>
        <v>1783137.351709198</v>
      </c>
      <c r="F16" s="50">
        <f>'Revenue Modelling'!F6*'Other Items'!F17</f>
        <v>2092745.512058849</v>
      </c>
      <c r="G16" s="50">
        <f>'Revenue Modelling'!G6*'Other Items'!G17</f>
        <v>2384193.1344331233</v>
      </c>
      <c r="H16" s="50">
        <f>'Revenue Modelling'!H6*'Other Items'!H17</f>
        <v>2675841.7554977285</v>
      </c>
    </row>
    <row r="17" spans="1:8" x14ac:dyDescent="0.3">
      <c r="A17" s="49" t="s">
        <v>60</v>
      </c>
      <c r="B17" s="81">
        <f>B16/'Revenue Modelling'!B6</f>
        <v>0.3735294812236864</v>
      </c>
      <c r="C17" s="81">
        <f>C16/'Revenue Modelling'!C6</f>
        <v>5.7553149123950265E-2</v>
      </c>
      <c r="D17" s="81">
        <f>D16/'Revenue Modelling'!D6</f>
        <v>6.2251020721028949E-2</v>
      </c>
      <c r="E17" s="80">
        <f>'Other Items'!$D$17</f>
        <v>6.2251020721028949E-2</v>
      </c>
      <c r="F17" s="80">
        <f>'Other Items'!$D$17</f>
        <v>6.2251020721028949E-2</v>
      </c>
      <c r="G17" s="80">
        <f>'Other Items'!$D$17</f>
        <v>6.2251020721028949E-2</v>
      </c>
      <c r="H17" s="80">
        <f>'Other Items'!$D$17</f>
        <v>6.2251020721028949E-2</v>
      </c>
    </row>
    <row r="19" spans="1:8" x14ac:dyDescent="0.3">
      <c r="A19" t="s">
        <v>66</v>
      </c>
      <c r="B19" s="51">
        <f>'Balance Sheet Input'!B17</f>
        <v>562985</v>
      </c>
      <c r="C19" s="51">
        <f>'Balance Sheet Input'!C17</f>
        <v>674347</v>
      </c>
      <c r="D19" s="51">
        <f>'Balance Sheet Input'!D17</f>
        <v>656183</v>
      </c>
      <c r="E19" s="50">
        <f>(E20*E4)/365</f>
        <v>762212.8545602411</v>
      </c>
      <c r="F19" s="50">
        <f t="shared" ref="F19:H19" si="4">(F20*F4)/365</f>
        <v>894556.73680187028</v>
      </c>
      <c r="G19" s="50">
        <f t="shared" si="4"/>
        <v>1019137.787157726</v>
      </c>
      <c r="H19" s="50">
        <f t="shared" si="4"/>
        <v>1143804.7556204358</v>
      </c>
    </row>
    <row r="20" spans="1:8" x14ac:dyDescent="0.3">
      <c r="A20" t="s">
        <v>67</v>
      </c>
      <c r="B20" s="82">
        <f>B19/B4*365</f>
        <v>20.789316498423119</v>
      </c>
      <c r="C20" s="82">
        <f t="shared" ref="C20:D20" si="5">C19/C4*365</f>
        <v>19.951686578364892</v>
      </c>
      <c r="D20" s="82">
        <f t="shared" si="5"/>
        <v>15.797966625219342</v>
      </c>
      <c r="E20" s="84">
        <f>$D$20</f>
        <v>15.797966625219342</v>
      </c>
      <c r="F20" s="84">
        <f t="shared" ref="F20:H20" si="6">$D$20</f>
        <v>15.797966625219342</v>
      </c>
      <c r="G20" s="84">
        <f t="shared" si="6"/>
        <v>15.797966625219342</v>
      </c>
      <c r="H20" s="84">
        <f t="shared" si="6"/>
        <v>15.797966625219342</v>
      </c>
    </row>
    <row r="22" spans="1:8" x14ac:dyDescent="0.3">
      <c r="A22" t="s">
        <v>68</v>
      </c>
      <c r="B22" s="51">
        <f>'Balance Sheet Input'!B18</f>
        <v>481874</v>
      </c>
      <c r="C22" s="51">
        <f>'Balance Sheet Input'!C18</f>
        <v>843043</v>
      </c>
      <c r="D22" s="51">
        <f>'Balance Sheet Input'!D18</f>
        <v>1102196</v>
      </c>
      <c r="E22" s="50">
        <v>1111676.57</v>
      </c>
      <c r="F22" s="50">
        <v>1304698.23</v>
      </c>
      <c r="G22" s="50">
        <v>1486397.91</v>
      </c>
      <c r="H22" s="50">
        <v>1668223</v>
      </c>
    </row>
    <row r="23" spans="1:8" x14ac:dyDescent="0.3">
      <c r="A23" s="49" t="s">
        <v>60</v>
      </c>
      <c r="B23" s="81">
        <f>B22/'Revenue Modelling'!B3</f>
        <v>3.1232208541559291E-2</v>
      </c>
      <c r="C23" s="81">
        <f>C22/'Revenue Modelling'!C3</f>
        <v>4.2450940947861525E-2</v>
      </c>
      <c r="D23" s="81">
        <f>D22/'Revenue Modelling'!D3</f>
        <v>4.4521164494020299E-2</v>
      </c>
      <c r="E23" s="80">
        <f>AVERAGE($B$23:$D$23)</f>
        <v>3.9401437994480371E-2</v>
      </c>
      <c r="F23" s="80">
        <f t="shared" ref="F23:H23" si="7">AVERAGE($B$23:$D$23)</f>
        <v>3.9401437994480371E-2</v>
      </c>
      <c r="G23" s="80">
        <f t="shared" si="7"/>
        <v>3.9401437994480371E-2</v>
      </c>
      <c r="H23" s="80">
        <f t="shared" si="7"/>
        <v>3.9401437994480371E-2</v>
      </c>
    </row>
    <row r="25" spans="1:8" x14ac:dyDescent="0.3">
      <c r="A25" t="s">
        <v>69</v>
      </c>
      <c r="B25" s="51">
        <f>'Balance Sheet Input'!B19</f>
        <v>760899</v>
      </c>
      <c r="C25" s="51">
        <f>'Balance Sheet Input'!C19</f>
        <v>924745</v>
      </c>
      <c r="D25" s="51">
        <f>'Balance Sheet Input'!D19</f>
        <v>1117992</v>
      </c>
      <c r="E25" s="50">
        <f>E26*'Revenue Modelling'!E6</f>
        <v>1325090.692034519</v>
      </c>
      <c r="F25" s="50">
        <f>F26*'Revenue Modelling'!F6</f>
        <v>1555167.6914670116</v>
      </c>
      <c r="G25" s="50">
        <f>G26*'Revenue Modelling'!G6</f>
        <v>1771749.1742414942</v>
      </c>
      <c r="H25" s="50">
        <f>H26*'Revenue Modelling'!H6</f>
        <v>1988480.023801106</v>
      </c>
    </row>
    <row r="26" spans="1:8" x14ac:dyDescent="0.3">
      <c r="A26" s="49" t="s">
        <v>60</v>
      </c>
      <c r="B26" s="81">
        <f>B25/'Revenue Modelling'!B6</f>
        <v>4.8175419284666579E-2</v>
      </c>
      <c r="C26" s="81">
        <f>C25/'Revenue Modelling'!C6</f>
        <v>4.5878373306565391E-2</v>
      </c>
      <c r="D26" s="81">
        <f>D25/'Revenue Modelling'!D6</f>
        <v>4.472673608988554E-2</v>
      </c>
      <c r="E26" s="80">
        <f>AVERAGE($B$26:$D$26)</f>
        <v>4.6260176227039172E-2</v>
      </c>
      <c r="F26" s="80">
        <f t="shared" ref="F26:H26" si="8">AVERAGE($B$26:$D$26)</f>
        <v>4.6260176227039172E-2</v>
      </c>
      <c r="G26" s="80">
        <f t="shared" si="8"/>
        <v>4.6260176227039172E-2</v>
      </c>
      <c r="H26" s="80">
        <f t="shared" si="8"/>
        <v>4.6260176227039172E-2</v>
      </c>
    </row>
  </sheetData>
  <phoneticPr fontId="2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595AF-1B93-478A-BF3F-8CDE5F785EA3}">
  <dimension ref="A1:H28"/>
  <sheetViews>
    <sheetView workbookViewId="0"/>
  </sheetViews>
  <sheetFormatPr defaultRowHeight="14.4" x14ac:dyDescent="0.3"/>
  <cols>
    <col min="1" max="1" width="31.21875" bestFit="1" customWidth="1"/>
    <col min="2" max="4" width="12.77734375" bestFit="1" customWidth="1"/>
    <col min="5" max="5" width="11.21875" customWidth="1"/>
    <col min="6" max="6" width="12.33203125" customWidth="1"/>
    <col min="7" max="7" width="12.5546875" customWidth="1"/>
    <col min="8" max="8" width="11.33203125" customWidth="1"/>
  </cols>
  <sheetData>
    <row r="1" spans="1:8" ht="18" x14ac:dyDescent="0.35">
      <c r="A1" s="114" t="s">
        <v>70</v>
      </c>
    </row>
    <row r="3" spans="1:8" ht="24" x14ac:dyDescent="0.3">
      <c r="A3" s="32" t="s">
        <v>1</v>
      </c>
      <c r="B3" s="33" t="s">
        <v>2</v>
      </c>
      <c r="C3" s="33" t="s">
        <v>3</v>
      </c>
      <c r="D3" s="33" t="s">
        <v>4</v>
      </c>
      <c r="E3" s="85" t="s">
        <v>137</v>
      </c>
      <c r="F3" s="85" t="s">
        <v>148</v>
      </c>
      <c r="G3" s="85" t="s">
        <v>139</v>
      </c>
      <c r="H3" s="85" t="s">
        <v>140</v>
      </c>
    </row>
    <row r="4" spans="1:8" x14ac:dyDescent="0.3">
      <c r="A4" t="s">
        <v>71</v>
      </c>
      <c r="C4" s="51">
        <f>B7</f>
        <v>418281</v>
      </c>
      <c r="D4" s="51">
        <f>C7</f>
        <v>565221</v>
      </c>
      <c r="E4" s="51">
        <f>D7</f>
        <v>960183</v>
      </c>
      <c r="F4" s="51">
        <f t="shared" ref="F4:H4" si="0">E7</f>
        <v>1284140.1319325478</v>
      </c>
      <c r="G4" s="51">
        <f t="shared" si="0"/>
        <v>1580571.3401268851</v>
      </c>
      <c r="H4" s="51">
        <f t="shared" si="0"/>
        <v>1855677.8705373763</v>
      </c>
    </row>
    <row r="5" spans="1:8" x14ac:dyDescent="0.3">
      <c r="A5" t="s">
        <v>72</v>
      </c>
      <c r="C5" s="51">
        <f>C7+C6-C4</f>
        <v>250519</v>
      </c>
      <c r="D5" s="51">
        <f>D7+D6-D4</f>
        <v>510672</v>
      </c>
      <c r="E5" s="51">
        <f>D5</f>
        <v>510672</v>
      </c>
      <c r="F5" s="51">
        <f t="shared" ref="F5:H5" si="1">E5</f>
        <v>510672</v>
      </c>
      <c r="G5" s="51">
        <f t="shared" si="1"/>
        <v>510672</v>
      </c>
      <c r="H5" s="51">
        <f t="shared" si="1"/>
        <v>510672</v>
      </c>
    </row>
    <row r="6" spans="1:8" x14ac:dyDescent="0.3">
      <c r="A6" t="s">
        <v>73</v>
      </c>
      <c r="B6" s="92">
        <v>83157</v>
      </c>
      <c r="C6" s="92">
        <v>103579</v>
      </c>
      <c r="D6" s="92">
        <v>115710</v>
      </c>
      <c r="E6" s="86">
        <f>(E4+E5)/E9</f>
        <v>186714.86806745233</v>
      </c>
      <c r="F6" s="86">
        <f t="shared" ref="F6:H6" si="2">(F4+F5)/F9</f>
        <v>214240.79180566277</v>
      </c>
      <c r="G6" s="86">
        <f t="shared" si="2"/>
        <v>235565.4695895089</v>
      </c>
      <c r="H6" s="86">
        <f t="shared" si="2"/>
        <v>252342.11800147456</v>
      </c>
    </row>
    <row r="7" spans="1:8" x14ac:dyDescent="0.3">
      <c r="A7" t="s">
        <v>74</v>
      </c>
      <c r="B7" s="51">
        <f>'Balance Sheet Input'!B10</f>
        <v>418281</v>
      </c>
      <c r="C7" s="51">
        <f>'Balance Sheet Input'!C10</f>
        <v>565221</v>
      </c>
      <c r="D7" s="51">
        <f>'Balance Sheet Input'!D10</f>
        <v>960183</v>
      </c>
      <c r="E7" s="83">
        <f>E4+E5-E6</f>
        <v>1284140.1319325478</v>
      </c>
      <c r="F7" s="83">
        <f t="shared" ref="F7:H7" si="3">F4+F5-F6</f>
        <v>1580571.3401268851</v>
      </c>
      <c r="G7" s="83">
        <f t="shared" si="3"/>
        <v>1855677.8705373763</v>
      </c>
      <c r="H7" s="83">
        <f t="shared" si="3"/>
        <v>2114007.7525359015</v>
      </c>
    </row>
    <row r="9" spans="1:8" x14ac:dyDescent="0.3">
      <c r="A9" s="49" t="s">
        <v>75</v>
      </c>
      <c r="C9" s="51">
        <f>(C4+C5)/C6</f>
        <v>6.4569072881568657</v>
      </c>
      <c r="D9" s="51">
        <f>(D4+D5)/D6</f>
        <v>9.298185117967332</v>
      </c>
      <c r="E9" s="87">
        <f>AVERAGE(C9:D9)</f>
        <v>7.8775462030620993</v>
      </c>
      <c r="F9" s="88">
        <f>E9+0.5</f>
        <v>8.3775462030620993</v>
      </c>
      <c r="G9" s="88">
        <f t="shared" ref="G9:H9" si="4">F9+0.5</f>
        <v>8.8775462030620993</v>
      </c>
      <c r="H9" s="88">
        <f t="shared" si="4"/>
        <v>9.3775462030620993</v>
      </c>
    </row>
    <row r="12" spans="1:8" x14ac:dyDescent="0.3">
      <c r="A12" t="s">
        <v>76</v>
      </c>
    </row>
    <row r="13" spans="1:8" ht="24" x14ac:dyDescent="0.3">
      <c r="A13" s="32" t="s">
        <v>1</v>
      </c>
      <c r="B13" s="33" t="s">
        <v>2</v>
      </c>
      <c r="C13" s="33" t="s">
        <v>3</v>
      </c>
      <c r="D13" s="33" t="s">
        <v>4</v>
      </c>
      <c r="E13" s="85" t="s">
        <v>137</v>
      </c>
      <c r="F13" s="85" t="s">
        <v>148</v>
      </c>
      <c r="G13" s="85" t="s">
        <v>139</v>
      </c>
      <c r="H13" s="85" t="s">
        <v>140</v>
      </c>
    </row>
    <row r="14" spans="1:8" x14ac:dyDescent="0.3">
      <c r="A14" t="s">
        <v>71</v>
      </c>
      <c r="C14" s="51">
        <f>B17</f>
        <v>14951141</v>
      </c>
      <c r="D14" s="51">
        <f t="shared" ref="D14:E14" si="5">C17</f>
        <v>24504567</v>
      </c>
      <c r="E14" s="51">
        <f t="shared" si="5"/>
        <v>25383950</v>
      </c>
      <c r="F14">
        <f>E17</f>
        <v>26490394.690509938</v>
      </c>
      <c r="G14">
        <f t="shared" ref="G14:H14" si="6">F17</f>
        <v>27281059.995118186</v>
      </c>
      <c r="H14">
        <f t="shared" si="6"/>
        <v>27846069.370890178</v>
      </c>
    </row>
    <row r="15" spans="1:8" x14ac:dyDescent="0.3">
      <c r="A15" t="s">
        <v>78</v>
      </c>
      <c r="C15" s="51">
        <f>C17+C16-C14</f>
        <v>18769673</v>
      </c>
      <c r="D15" s="51">
        <f>D17+D16-D14</f>
        <v>11686295</v>
      </c>
      <c r="E15" s="51">
        <f>$D$15</f>
        <v>11686295</v>
      </c>
      <c r="F15" s="51">
        <f t="shared" ref="F15:H15" si="7">$D$15</f>
        <v>11686295</v>
      </c>
      <c r="G15" s="51">
        <f t="shared" si="7"/>
        <v>11686295</v>
      </c>
      <c r="H15" s="51">
        <f t="shared" si="7"/>
        <v>11686295</v>
      </c>
    </row>
    <row r="16" spans="1:8" x14ac:dyDescent="0.3">
      <c r="A16" t="s">
        <v>77</v>
      </c>
      <c r="C16" s="51">
        <v>9216247</v>
      </c>
      <c r="D16" s="51">
        <v>10806912</v>
      </c>
      <c r="E16">
        <f>(E14+E15)/E19</f>
        <v>10579850.30949006</v>
      </c>
      <c r="F16">
        <f t="shared" ref="F16:H16" si="8">(F14+F15)/F19</f>
        <v>10895629.69539175</v>
      </c>
      <c r="G16">
        <f t="shared" si="8"/>
        <v>11121285.624228006</v>
      </c>
      <c r="H16">
        <f t="shared" si="8"/>
        <v>11282539.33644723</v>
      </c>
    </row>
    <row r="17" spans="1:8" x14ac:dyDescent="0.3">
      <c r="A17" t="s">
        <v>74</v>
      </c>
      <c r="B17" s="51">
        <f>'Balance Sheet Input'!B9</f>
        <v>14951141</v>
      </c>
      <c r="C17" s="51">
        <f>'Balance Sheet Input'!C9</f>
        <v>24504567</v>
      </c>
      <c r="D17" s="51">
        <f>'Balance Sheet Input'!D9</f>
        <v>25383950</v>
      </c>
      <c r="E17">
        <f>E14+E15-E16</f>
        <v>26490394.690509938</v>
      </c>
      <c r="F17">
        <f t="shared" ref="F17:H17" si="9">F14+F15-F16</f>
        <v>27281059.995118186</v>
      </c>
      <c r="G17">
        <f t="shared" si="9"/>
        <v>27846069.370890178</v>
      </c>
      <c r="H17">
        <f t="shared" si="9"/>
        <v>28249825.034442946</v>
      </c>
    </row>
    <row r="19" spans="1:8" x14ac:dyDescent="0.3">
      <c r="A19" s="49" t="s">
        <v>79</v>
      </c>
      <c r="C19" s="53">
        <f>(C14+C15)/C16</f>
        <v>3.6588444298422123</v>
      </c>
      <c r="D19" s="53">
        <f>(D14+D15)/D16</f>
        <v>3.3488624687607338</v>
      </c>
      <c r="E19" s="87">
        <f>AVERAGE($C$19:$D$19)</f>
        <v>3.5038534493014728</v>
      </c>
      <c r="F19" s="87">
        <f t="shared" ref="F19:H19" si="10">AVERAGE($C$19:$D$19)</f>
        <v>3.5038534493014728</v>
      </c>
      <c r="G19" s="87">
        <f t="shared" si="10"/>
        <v>3.5038534493014728</v>
      </c>
      <c r="H19" s="87">
        <f t="shared" si="10"/>
        <v>3.5038534493014728</v>
      </c>
    </row>
    <row r="22" spans="1:8" x14ac:dyDescent="0.3">
      <c r="A22" t="s">
        <v>80</v>
      </c>
    </row>
    <row r="23" spans="1:8" x14ac:dyDescent="0.3">
      <c r="A23" t="s">
        <v>81</v>
      </c>
      <c r="C23" s="51">
        <f>B25</f>
        <v>10360058</v>
      </c>
      <c r="D23" s="51">
        <f>C25</f>
        <v>14759260</v>
      </c>
      <c r="E23" s="51">
        <f>D25</f>
        <v>15809095</v>
      </c>
      <c r="F23" s="51">
        <f t="shared" ref="F23:H23" si="11">E25</f>
        <v>15309095</v>
      </c>
      <c r="G23" s="51">
        <f t="shared" si="11"/>
        <v>14609095</v>
      </c>
      <c r="H23" s="51">
        <f t="shared" si="11"/>
        <v>14609095</v>
      </c>
    </row>
    <row r="24" spans="1:8" x14ac:dyDescent="0.3">
      <c r="A24" t="s">
        <v>82</v>
      </c>
      <c r="C24" s="51">
        <f>C25-C23</f>
        <v>4399202</v>
      </c>
      <c r="D24" s="51">
        <f>D25-D23</f>
        <v>1049835</v>
      </c>
      <c r="E24" s="93">
        <v>-500000</v>
      </c>
      <c r="F24" s="93">
        <v>-700000</v>
      </c>
      <c r="G24" s="94">
        <v>0</v>
      </c>
      <c r="H24" s="93">
        <v>-400000</v>
      </c>
    </row>
    <row r="25" spans="1:8" x14ac:dyDescent="0.3">
      <c r="A25" t="s">
        <v>74</v>
      </c>
      <c r="B25" s="51">
        <f>'Balance Sheet Input'!B23</f>
        <v>10360058</v>
      </c>
      <c r="C25" s="51">
        <f>'Balance Sheet Input'!C23</f>
        <v>14759260</v>
      </c>
      <c r="D25" s="51">
        <f>'Balance Sheet Input'!D23</f>
        <v>15809095</v>
      </c>
      <c r="E25" s="89">
        <f>E23+E24</f>
        <v>15309095</v>
      </c>
      <c r="F25" s="89">
        <f t="shared" ref="F25:H25" si="12">F23+F24</f>
        <v>14609095</v>
      </c>
      <c r="G25" s="89">
        <f t="shared" si="12"/>
        <v>14609095</v>
      </c>
      <c r="H25" s="89">
        <f t="shared" si="12"/>
        <v>14209095</v>
      </c>
    </row>
    <row r="27" spans="1:8" x14ac:dyDescent="0.3">
      <c r="A27" t="s">
        <v>83</v>
      </c>
      <c r="B27" s="50">
        <f>'P&amp;L Input'!B10</f>
        <v>-420493</v>
      </c>
      <c r="C27" s="50">
        <f>'P&amp;L Input'!C10</f>
        <v>-626023</v>
      </c>
      <c r="D27" s="50">
        <f>'P&amp;L Input'!D10</f>
        <v>-767499</v>
      </c>
      <c r="E27" s="50">
        <f>E25*E28</f>
        <v>-696284.80809230579</v>
      </c>
      <c r="F27" s="54">
        <f t="shared" ref="F27:H27" si="13">F25*F28</f>
        <v>-664447.56587357156</v>
      </c>
      <c r="G27" s="54">
        <f t="shared" si="13"/>
        <v>-664447.56587357156</v>
      </c>
      <c r="H27" s="50">
        <f t="shared" si="13"/>
        <v>-646254.85603429482</v>
      </c>
    </row>
    <row r="28" spans="1:8" x14ac:dyDescent="0.3">
      <c r="B28" s="55">
        <f>B27/B25</f>
        <v>-4.0587900183570398E-2</v>
      </c>
      <c r="C28" s="55">
        <f t="shared" ref="C28:D28" si="14">C27/C25</f>
        <v>-4.2415608912641962E-2</v>
      </c>
      <c r="D28" s="55">
        <f t="shared" si="14"/>
        <v>-4.8547940283741729E-2</v>
      </c>
      <c r="E28" s="90">
        <f>AVERAGE($C$28:$D$28)</f>
        <v>-4.5481774598191846E-2</v>
      </c>
      <c r="F28" s="90">
        <f t="shared" ref="F28:H28" si="15">AVERAGE($C$28:$D$28)</f>
        <v>-4.5481774598191846E-2</v>
      </c>
      <c r="G28" s="90">
        <f t="shared" si="15"/>
        <v>-4.5481774598191846E-2</v>
      </c>
      <c r="H28" s="90">
        <f t="shared" si="15"/>
        <v>-4.5481774598191846E-2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E65FD-11BC-41CD-9294-FD0061627A02}">
  <dimension ref="A1:H21"/>
  <sheetViews>
    <sheetView workbookViewId="0">
      <pane ySplit="3" topLeftCell="A4" activePane="bottomLeft" state="frozen"/>
      <selection pane="bottomLeft" activeCell="B1" sqref="B1:B1048576"/>
    </sheetView>
  </sheetViews>
  <sheetFormatPr defaultRowHeight="14.4" x14ac:dyDescent="0.3"/>
  <cols>
    <col min="1" max="1" width="32.77734375" bestFit="1" customWidth="1"/>
    <col min="2" max="8" width="14.109375" bestFit="1" customWidth="1"/>
  </cols>
  <sheetData>
    <row r="1" spans="1:8" ht="18" x14ac:dyDescent="0.35">
      <c r="A1" s="114" t="s">
        <v>84</v>
      </c>
    </row>
    <row r="2" spans="1:8" ht="36" x14ac:dyDescent="0.3">
      <c r="B2" s="33" t="s">
        <v>2</v>
      </c>
      <c r="C2" s="33" t="s">
        <v>3</v>
      </c>
      <c r="D2" s="33" t="s">
        <v>4</v>
      </c>
      <c r="E2" s="33" t="s">
        <v>137</v>
      </c>
      <c r="F2" s="33" t="s">
        <v>148</v>
      </c>
      <c r="G2" s="33" t="s">
        <v>139</v>
      </c>
      <c r="H2" s="33" t="s">
        <v>140</v>
      </c>
    </row>
    <row r="3" spans="1:8" x14ac:dyDescent="0.3">
      <c r="A3" s="32" t="s">
        <v>1</v>
      </c>
    </row>
    <row r="4" spans="1:8" x14ac:dyDescent="0.3">
      <c r="A4" s="31" t="s">
        <v>47</v>
      </c>
      <c r="B4" s="95">
        <f>'Revenue Modelling'!B3</f>
        <v>15428752</v>
      </c>
      <c r="C4" s="95">
        <f>'Revenue Modelling'!C3</f>
        <v>19859230</v>
      </c>
      <c r="D4" s="95">
        <f>'Revenue Modelling'!D3</f>
        <v>24756675</v>
      </c>
      <c r="E4" s="95">
        <f>'Revenue Modelling'!E3</f>
        <v>28450601.211875249</v>
      </c>
      <c r="F4" s="95">
        <f>'Revenue Modelling'!F3</f>
        <v>33461471.562312212</v>
      </c>
      <c r="G4" s="95">
        <f>'Revenue Modelling'!G3</f>
        <v>38173270.285082638</v>
      </c>
      <c r="H4" s="95">
        <f>'Revenue Modelling'!H3</f>
        <v>42882607.805020079</v>
      </c>
    </row>
    <row r="5" spans="1:8" x14ac:dyDescent="0.3">
      <c r="A5" s="57" t="s">
        <v>48</v>
      </c>
      <c r="B5" s="96">
        <f>'Revenue Modelling'!B4</f>
        <v>365589</v>
      </c>
      <c r="C5" s="96">
        <f>'Revenue Modelling'!C4</f>
        <v>297217</v>
      </c>
      <c r="D5" s="96">
        <f>'Revenue Modelling'!D4</f>
        <v>239381</v>
      </c>
      <c r="E5" s="96">
        <f>'Revenue Modelling'!E4</f>
        <v>193705.83812687785</v>
      </c>
      <c r="F5" s="96">
        <f>'Revenue Modelling'!F4</f>
        <v>156379.00173325167</v>
      </c>
      <c r="G5" s="96">
        <f>'Revenue Modelling'!G4</f>
        <v>126393.02674674911</v>
      </c>
      <c r="H5" s="96">
        <f>'Revenue Modelling'!H4</f>
        <v>102097.09627329883</v>
      </c>
    </row>
    <row r="6" spans="1:8" x14ac:dyDescent="0.3">
      <c r="A6" s="56" t="s">
        <v>50</v>
      </c>
      <c r="B6" s="95">
        <f>SUM(B4:B5)</f>
        <v>15794341</v>
      </c>
      <c r="C6" s="95">
        <f t="shared" ref="C6:H6" si="0">SUM(C4:C5)</f>
        <v>20156447</v>
      </c>
      <c r="D6" s="95">
        <f t="shared" si="0"/>
        <v>24996056</v>
      </c>
      <c r="E6" s="95">
        <f t="shared" si="0"/>
        <v>28644307.050002128</v>
      </c>
      <c r="F6" s="95">
        <f t="shared" si="0"/>
        <v>33617850.564045466</v>
      </c>
      <c r="G6" s="95">
        <f t="shared" si="0"/>
        <v>38299663.311829388</v>
      </c>
      <c r="H6" s="95">
        <f t="shared" si="0"/>
        <v>42984704.901293375</v>
      </c>
    </row>
    <row r="7" spans="1:8" x14ac:dyDescent="0.3">
      <c r="A7" s="58" t="s">
        <v>59</v>
      </c>
      <c r="B7" s="97">
        <f>'Other Items'!B4</f>
        <v>9884381</v>
      </c>
      <c r="C7" s="97">
        <f>'Other Items'!C4</f>
        <v>12336634</v>
      </c>
      <c r="D7" s="97">
        <f>'Other Items'!D4</f>
        <v>15160609</v>
      </c>
      <c r="E7" s="97">
        <f>'Other Items'!E4</f>
        <v>17610348.123559561</v>
      </c>
      <c r="F7" s="97">
        <f>'Other Items'!F4</f>
        <v>20668052.837347303</v>
      </c>
      <c r="G7" s="97">
        <f>'Other Items'!G4</f>
        <v>23546403.226269968</v>
      </c>
      <c r="H7" s="97">
        <f>'Other Items'!H4</f>
        <v>26426738.687686183</v>
      </c>
    </row>
    <row r="8" spans="1:8" x14ac:dyDescent="0.3">
      <c r="A8" s="56" t="s">
        <v>86</v>
      </c>
      <c r="B8" s="95">
        <f>B6-B7</f>
        <v>5909960</v>
      </c>
      <c r="C8" s="95">
        <f t="shared" ref="C8:H8" si="1">C6-C7</f>
        <v>7819813</v>
      </c>
      <c r="D8" s="95">
        <f t="shared" si="1"/>
        <v>9835447</v>
      </c>
      <c r="E8" s="95">
        <f t="shared" si="1"/>
        <v>11033958.926442567</v>
      </c>
      <c r="F8" s="95">
        <f t="shared" si="1"/>
        <v>12949797.726698164</v>
      </c>
      <c r="G8" s="95">
        <f t="shared" si="1"/>
        <v>14753260.08555942</v>
      </c>
      <c r="H8" s="95">
        <f t="shared" si="1"/>
        <v>16557966.213607192</v>
      </c>
    </row>
    <row r="9" spans="1:8" x14ac:dyDescent="0.3">
      <c r="A9" t="s">
        <v>85</v>
      </c>
      <c r="B9" s="95"/>
      <c r="C9" s="95"/>
      <c r="D9" s="95"/>
      <c r="E9" s="95"/>
      <c r="F9" s="95"/>
      <c r="G9" s="95"/>
      <c r="H9" s="95"/>
    </row>
    <row r="10" spans="1:8" x14ac:dyDescent="0.3">
      <c r="A10" s="9" t="s">
        <v>7</v>
      </c>
      <c r="B10" s="95">
        <f>'Other Items'!B7</f>
        <v>2369469</v>
      </c>
      <c r="C10" s="95">
        <f>'Other Items'!C7</f>
        <v>2652462</v>
      </c>
      <c r="D10" s="95">
        <f>'Other Items'!D7</f>
        <v>2228362</v>
      </c>
      <c r="E10" s="95">
        <f>'Other Items'!E7</f>
        <v>3540077.3062013234</v>
      </c>
      <c r="F10" s="95">
        <f>'Other Items'!F7</f>
        <v>4154744.9431155245</v>
      </c>
      <c r="G10" s="95">
        <f>'Other Items'!G7</f>
        <v>4733358.3140510488</v>
      </c>
      <c r="H10" s="95">
        <f>'Other Items'!H7</f>
        <v>5312370.7293459615</v>
      </c>
    </row>
    <row r="11" spans="1:8" x14ac:dyDescent="0.3">
      <c r="A11" s="9" t="s">
        <v>8</v>
      </c>
      <c r="B11" s="95">
        <f>'Other Items'!B10</f>
        <v>1221814</v>
      </c>
      <c r="C11" s="95">
        <f>'Other Items'!C10</f>
        <v>1545149</v>
      </c>
      <c r="D11" s="95">
        <f>'Other Items'!D10</f>
        <v>1829600</v>
      </c>
      <c r="E11" s="95">
        <f>'Other Items'!E10</f>
        <v>2169434.4552735938</v>
      </c>
      <c r="F11" s="95">
        <f>'Other Items'!F10</f>
        <v>2546115.819753218</v>
      </c>
      <c r="G11" s="95">
        <f>'Other Items'!G10</f>
        <v>2900702.3653607448</v>
      </c>
      <c r="H11" s="95">
        <f>'Other Items'!H10</f>
        <v>3255533.4538150975</v>
      </c>
    </row>
    <row r="12" spans="1:8" x14ac:dyDescent="0.3">
      <c r="A12" s="59" t="s">
        <v>9</v>
      </c>
      <c r="B12" s="97">
        <f>'Other Items'!B13</f>
        <v>630294</v>
      </c>
      <c r="C12" s="97">
        <f>'Other Items'!C13</f>
        <v>914369</v>
      </c>
      <c r="D12" s="97">
        <f>'Other Items'!D13</f>
        <v>1076486</v>
      </c>
      <c r="E12" s="97">
        <f>'Other Items'!E13</f>
        <v>1225366.7194431941</v>
      </c>
      <c r="F12" s="97">
        <f>'Other Items'!F13</f>
        <v>1438128.5324335631</v>
      </c>
      <c r="G12" s="97">
        <f>'Other Items'!G13</f>
        <v>1638410.4773863521</v>
      </c>
      <c r="H12" s="97">
        <f>'Other Items'!H13</f>
        <v>1838830.5480452438</v>
      </c>
    </row>
    <row r="13" spans="1:8" x14ac:dyDescent="0.3">
      <c r="A13" s="56" t="s">
        <v>87</v>
      </c>
      <c r="B13" s="95">
        <f>B8-SUM(B10:B12)</f>
        <v>1688383</v>
      </c>
      <c r="C13" s="95">
        <f t="shared" ref="C13:H13" si="2">C8-SUM(C10:C12)</f>
        <v>2707833</v>
      </c>
      <c r="D13" s="95">
        <f t="shared" si="2"/>
        <v>4700999</v>
      </c>
      <c r="E13" s="95">
        <f t="shared" si="2"/>
        <v>4099080.445524456</v>
      </c>
      <c r="F13" s="95">
        <f t="shared" si="2"/>
        <v>4810808.4313958585</v>
      </c>
      <c r="G13" s="95">
        <f t="shared" si="2"/>
        <v>5480788.9287612755</v>
      </c>
      <c r="H13" s="95">
        <f t="shared" si="2"/>
        <v>6151231.4824008886</v>
      </c>
    </row>
    <row r="14" spans="1:8" x14ac:dyDescent="0.3">
      <c r="A14" s="59" t="s">
        <v>73</v>
      </c>
      <c r="B14" s="97">
        <f>Schedules!B6</f>
        <v>83157</v>
      </c>
      <c r="C14" s="97">
        <f>Schedules!C6</f>
        <v>103579</v>
      </c>
      <c r="D14" s="97">
        <f>Schedules!D6</f>
        <v>115710</v>
      </c>
      <c r="E14" s="97">
        <f>Schedules!E6</f>
        <v>186714.86806745233</v>
      </c>
      <c r="F14" s="97">
        <f>Schedules!F6</f>
        <v>214240.79180566277</v>
      </c>
      <c r="G14" s="97">
        <f>Schedules!G6</f>
        <v>235565.4695895089</v>
      </c>
      <c r="H14" s="97">
        <f>Schedules!H6</f>
        <v>252342.11800147456</v>
      </c>
    </row>
    <row r="15" spans="1:8" x14ac:dyDescent="0.3">
      <c r="A15" s="56" t="s">
        <v>88</v>
      </c>
      <c r="B15" s="95">
        <f>B13-B14</f>
        <v>1605226</v>
      </c>
      <c r="C15" s="95">
        <f t="shared" ref="C15:H15" si="3">C13-C14</f>
        <v>2604254</v>
      </c>
      <c r="D15" s="95">
        <f t="shared" si="3"/>
        <v>4585289</v>
      </c>
      <c r="E15" s="95">
        <f t="shared" si="3"/>
        <v>3912365.5774570038</v>
      </c>
      <c r="F15" s="95">
        <f t="shared" si="3"/>
        <v>4596567.6395901954</v>
      </c>
      <c r="G15" s="95">
        <f t="shared" si="3"/>
        <v>5245223.4591717664</v>
      </c>
      <c r="H15" s="95">
        <f t="shared" si="3"/>
        <v>5898889.3643994136</v>
      </c>
    </row>
    <row r="16" spans="1:8" x14ac:dyDescent="0.3">
      <c r="A16" s="11" t="s">
        <v>12</v>
      </c>
      <c r="B16" s="95">
        <f>Schedules!B27</f>
        <v>-420493</v>
      </c>
      <c r="C16" s="95">
        <f>Schedules!C27</f>
        <v>-626023</v>
      </c>
      <c r="D16" s="95">
        <f>Schedules!D27</f>
        <v>-767499</v>
      </c>
      <c r="E16" s="95">
        <f>Schedules!E27</f>
        <v>-696284.80809230579</v>
      </c>
      <c r="F16" s="95">
        <f>Schedules!F27</f>
        <v>-664447.56587357156</v>
      </c>
      <c r="G16" s="95">
        <f>Schedules!G27</f>
        <v>-664447.56587357156</v>
      </c>
      <c r="H16" s="95">
        <f>Schedules!H27</f>
        <v>-646254.85603429482</v>
      </c>
    </row>
    <row r="17" spans="1:8" x14ac:dyDescent="0.3">
      <c r="A17" s="60" t="s">
        <v>13</v>
      </c>
      <c r="B17" s="97">
        <f>'P&amp;L Input'!B11</f>
        <v>41725</v>
      </c>
      <c r="C17" s="97">
        <f>'P&amp;L Input'!C11</f>
        <v>84000</v>
      </c>
      <c r="D17" s="97">
        <f>'P&amp;L Input'!D11</f>
        <v>-618441</v>
      </c>
      <c r="E17" s="97">
        <v>0</v>
      </c>
      <c r="F17" s="97">
        <v>0</v>
      </c>
      <c r="G17" s="97">
        <v>0</v>
      </c>
      <c r="H17" s="97">
        <v>0</v>
      </c>
    </row>
    <row r="18" spans="1:8" x14ac:dyDescent="0.3">
      <c r="A18" s="56" t="s">
        <v>89</v>
      </c>
      <c r="B18" s="95">
        <f>B15+B16+B17</f>
        <v>1226458</v>
      </c>
      <c r="C18" s="95">
        <f t="shared" ref="C18:H18" si="4">C15+C16+C17</f>
        <v>2062231</v>
      </c>
      <c r="D18" s="95">
        <f t="shared" si="4"/>
        <v>3199349</v>
      </c>
      <c r="E18" s="95">
        <f t="shared" si="4"/>
        <v>3216080.7693646979</v>
      </c>
      <c r="F18" s="95">
        <f t="shared" si="4"/>
        <v>3932120.0737166237</v>
      </c>
      <c r="G18" s="95">
        <f t="shared" si="4"/>
        <v>4580775.8932981947</v>
      </c>
      <c r="H18" s="95">
        <f t="shared" si="4"/>
        <v>5252634.5083651189</v>
      </c>
    </row>
    <row r="19" spans="1:8" x14ac:dyDescent="0.3">
      <c r="A19" t="s">
        <v>90</v>
      </c>
      <c r="B19" s="95">
        <f>'P&amp;L Input'!B13</f>
        <v>-15216</v>
      </c>
      <c r="C19" s="95">
        <f>'P&amp;L Input'!C13</f>
        <v>-195315</v>
      </c>
      <c r="D19" s="95">
        <f>'P&amp;L Input'!D13</f>
        <v>-437954</v>
      </c>
      <c r="E19" s="95">
        <f>E18*E20</f>
        <v>-440244.38636308414</v>
      </c>
      <c r="F19" s="95">
        <f t="shared" ref="F19:H19" si="5">F18*F20</f>
        <v>-538261.91352193523</v>
      </c>
      <c r="G19" s="95">
        <f t="shared" si="5"/>
        <v>-627055.41832839034</v>
      </c>
      <c r="H19" s="95">
        <f t="shared" si="5"/>
        <v>-719025.11838393903</v>
      </c>
    </row>
    <row r="20" spans="1:8" x14ac:dyDescent="0.3">
      <c r="A20" s="61" t="s">
        <v>91</v>
      </c>
      <c r="B20" s="98">
        <f>B19/B18</f>
        <v>-1.2406458272521358E-2</v>
      </c>
      <c r="C20" s="98">
        <f t="shared" ref="C20:D20" si="6">C19/C18</f>
        <v>-9.471053436787634E-2</v>
      </c>
      <c r="D20" s="98">
        <f t="shared" si="6"/>
        <v>-0.13688847324877654</v>
      </c>
      <c r="E20" s="98">
        <f>$D$20</f>
        <v>-0.13688847324877654</v>
      </c>
      <c r="F20" s="98">
        <f t="shared" ref="F20:H20" si="7">$D$20</f>
        <v>-0.13688847324877654</v>
      </c>
      <c r="G20" s="98">
        <f t="shared" si="7"/>
        <v>-0.13688847324877654</v>
      </c>
      <c r="H20" s="98">
        <f t="shared" si="7"/>
        <v>-0.13688847324877654</v>
      </c>
    </row>
    <row r="21" spans="1:8" x14ac:dyDescent="0.3">
      <c r="A21" s="62" t="s">
        <v>92</v>
      </c>
      <c r="B21" s="99">
        <f>B18+B19</f>
        <v>1211242</v>
      </c>
      <c r="C21" s="99">
        <f t="shared" ref="C21:H21" si="8">C18+C19</f>
        <v>1866916</v>
      </c>
      <c r="D21" s="99">
        <f t="shared" si="8"/>
        <v>2761395</v>
      </c>
      <c r="E21" s="99">
        <f t="shared" si="8"/>
        <v>2775836.3830016139</v>
      </c>
      <c r="F21" s="99">
        <f t="shared" si="8"/>
        <v>3393858.1601946885</v>
      </c>
      <c r="G21" s="99">
        <f t="shared" si="8"/>
        <v>3953720.4749698043</v>
      </c>
      <c r="H21" s="99">
        <f t="shared" si="8"/>
        <v>4533609.3899811795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6D2A6-9A43-41A4-B5EA-A61FAA345F3E}">
  <dimension ref="A1:H35"/>
  <sheetViews>
    <sheetView workbookViewId="0">
      <pane ySplit="3" topLeftCell="A4" activePane="bottomLeft" state="frozen"/>
      <selection pane="bottomLeft" activeCell="E3" sqref="E3:H3"/>
    </sheetView>
  </sheetViews>
  <sheetFormatPr defaultRowHeight="14.4" x14ac:dyDescent="0.3"/>
  <cols>
    <col min="1" max="1" width="42.77734375" bestFit="1" customWidth="1"/>
    <col min="2" max="4" width="15.5546875" bestFit="1" customWidth="1"/>
    <col min="5" max="5" width="15.6640625" bestFit="1" customWidth="1"/>
    <col min="6" max="8" width="14.6640625" bestFit="1" customWidth="1"/>
  </cols>
  <sheetData>
    <row r="1" spans="1:8" ht="15.6" x14ac:dyDescent="0.3">
      <c r="A1" s="1" t="s">
        <v>17</v>
      </c>
      <c r="B1" s="5"/>
      <c r="C1" s="5"/>
      <c r="D1" s="5"/>
    </row>
    <row r="2" spans="1:8" x14ac:dyDescent="0.3">
      <c r="A2" s="5"/>
      <c r="B2" s="5"/>
      <c r="C2" s="5"/>
      <c r="D2" s="5"/>
    </row>
    <row r="3" spans="1:8" ht="36" x14ac:dyDescent="0.3">
      <c r="A3" s="3" t="s">
        <v>1</v>
      </c>
      <c r="B3" s="4" t="s">
        <v>2</v>
      </c>
      <c r="C3" s="4" t="s">
        <v>3</v>
      </c>
      <c r="D3" s="4" t="s">
        <v>4</v>
      </c>
      <c r="E3" s="33" t="s">
        <v>137</v>
      </c>
      <c r="F3" s="33" t="s">
        <v>148</v>
      </c>
      <c r="G3" s="33" t="s">
        <v>139</v>
      </c>
      <c r="H3" s="33" t="s">
        <v>140</v>
      </c>
    </row>
    <row r="4" spans="1:8" x14ac:dyDescent="0.3">
      <c r="A4" s="13" t="s">
        <v>18</v>
      </c>
      <c r="B4" s="2"/>
      <c r="C4" s="2"/>
      <c r="D4" s="2"/>
    </row>
    <row r="5" spans="1:8" x14ac:dyDescent="0.3">
      <c r="A5" s="14" t="s">
        <v>19</v>
      </c>
      <c r="B5" s="14"/>
      <c r="C5" s="15"/>
      <c r="D5" s="15"/>
    </row>
    <row r="6" spans="1:8" x14ac:dyDescent="0.3">
      <c r="A6" s="14" t="s">
        <v>20</v>
      </c>
      <c r="B6" s="16">
        <v>3794483</v>
      </c>
      <c r="C6" s="17">
        <v>5018437</v>
      </c>
      <c r="D6" s="17">
        <v>8205550</v>
      </c>
      <c r="E6" s="107">
        <f>D6+'Cashflow Statement'!E25</f>
        <v>9146486.325444689</v>
      </c>
      <c r="F6" s="107">
        <f>E6+'Cashflow Statement'!F25</f>
        <v>10999082.354161259</v>
      </c>
      <c r="G6" s="107">
        <f>F6+'Cashflow Statement'!G25</f>
        <v>14344101.513704643</v>
      </c>
      <c r="H6" s="107">
        <f>G6+'Cashflow Statement'!H25</f>
        <v>18047199.645092241</v>
      </c>
    </row>
    <row r="7" spans="1:8" x14ac:dyDescent="0.3">
      <c r="A7" s="14" t="s">
        <v>21</v>
      </c>
      <c r="B7" s="16">
        <f>748466+5151186</f>
        <v>5899652</v>
      </c>
      <c r="C7" s="18">
        <v>1160067</v>
      </c>
      <c r="D7" s="18">
        <v>1556030</v>
      </c>
      <c r="E7" s="18">
        <f>'Other Items'!E16</f>
        <v>1783137.351709198</v>
      </c>
      <c r="F7" s="18">
        <f>'Other Items'!F16</f>
        <v>2092745.512058849</v>
      </c>
      <c r="G7" s="18">
        <f>'Other Items'!G16</f>
        <v>2384193.1344331233</v>
      </c>
      <c r="H7" s="18">
        <f>'Other Items'!H16</f>
        <v>2675841.7554977285</v>
      </c>
    </row>
    <row r="8" spans="1:8" x14ac:dyDescent="0.3">
      <c r="A8" s="14" t="s">
        <v>22</v>
      </c>
      <c r="B8" s="19">
        <f>SUM(B6:B7)</f>
        <v>9694135</v>
      </c>
      <c r="C8" s="20">
        <f>SUM(C6:C7)</f>
        <v>6178504</v>
      </c>
      <c r="D8" s="20">
        <f>SUM(D6:D7)</f>
        <v>9761580</v>
      </c>
      <c r="E8" s="20">
        <f t="shared" ref="E8:H8" si="0">SUM(E6:E7)</f>
        <v>10929623.677153887</v>
      </c>
      <c r="F8" s="104">
        <f t="shared" si="0"/>
        <v>13091827.866220107</v>
      </c>
      <c r="G8" s="104">
        <f t="shared" si="0"/>
        <v>16728294.648137767</v>
      </c>
      <c r="H8" s="104">
        <f t="shared" si="0"/>
        <v>20723041.400589969</v>
      </c>
    </row>
    <row r="9" spans="1:8" x14ac:dyDescent="0.3">
      <c r="A9" s="14" t="s">
        <v>23</v>
      </c>
      <c r="B9" s="16">
        <v>14951141</v>
      </c>
      <c r="C9" s="20">
        <v>24504567</v>
      </c>
      <c r="D9" s="20">
        <v>25383950</v>
      </c>
      <c r="E9" s="20">
        <f>Schedules!E17</f>
        <v>26490394.690509938</v>
      </c>
      <c r="F9" s="20">
        <f>Schedules!F17</f>
        <v>27281059.995118186</v>
      </c>
      <c r="G9" s="20">
        <f>Schedules!G17</f>
        <v>27846069.370890178</v>
      </c>
      <c r="H9" s="20">
        <f>Schedules!H17</f>
        <v>28249825.034442946</v>
      </c>
    </row>
    <row r="10" spans="1:8" x14ac:dyDescent="0.3">
      <c r="A10" s="14" t="s">
        <v>24</v>
      </c>
      <c r="B10" s="16">
        <v>418281</v>
      </c>
      <c r="C10" s="20">
        <v>565221</v>
      </c>
      <c r="D10" s="20">
        <v>960183</v>
      </c>
      <c r="E10" s="20">
        <f>Schedules!E7</f>
        <v>1284140.1319325478</v>
      </c>
      <c r="F10" s="20">
        <f>Schedules!F7</f>
        <v>1580571.3401268851</v>
      </c>
      <c r="G10" s="20">
        <f>Schedules!G7</f>
        <v>1855677.8705373763</v>
      </c>
      <c r="H10" s="20">
        <f>Schedules!H7</f>
        <v>2114007.7525359015</v>
      </c>
    </row>
    <row r="11" spans="1:8" x14ac:dyDescent="0.3">
      <c r="A11" s="14" t="s">
        <v>25</v>
      </c>
      <c r="B11" s="16">
        <v>910843</v>
      </c>
      <c r="C11" s="20">
        <v>2727420</v>
      </c>
      <c r="D11" s="20">
        <v>3174646</v>
      </c>
      <c r="E11" s="20">
        <v>3174646</v>
      </c>
      <c r="F11" s="104">
        <v>3174646</v>
      </c>
      <c r="G11" s="104">
        <v>3174646</v>
      </c>
      <c r="H11" s="104">
        <v>3174646</v>
      </c>
    </row>
    <row r="12" spans="1:8" ht="15" thickBot="1" x14ac:dyDescent="0.35">
      <c r="A12" s="13" t="s">
        <v>26</v>
      </c>
      <c r="B12" s="22">
        <f>SUM(B8:B11)</f>
        <v>25974400</v>
      </c>
      <c r="C12" s="22">
        <f>SUM(C8:C11)</f>
        <v>33975712</v>
      </c>
      <c r="D12" s="22">
        <f>SUM(D8:D11)</f>
        <v>39280359</v>
      </c>
      <c r="E12" s="22">
        <f t="shared" ref="E12:H12" si="1">SUM(E8:E11)</f>
        <v>41878804.499596372</v>
      </c>
      <c r="F12" s="105">
        <f t="shared" si="1"/>
        <v>45128105.201465182</v>
      </c>
      <c r="G12" s="105">
        <f t="shared" si="1"/>
        <v>49604687.889565326</v>
      </c>
      <c r="H12" s="105">
        <f t="shared" si="1"/>
        <v>54261520.187568821</v>
      </c>
    </row>
    <row r="13" spans="1:8" x14ac:dyDescent="0.3">
      <c r="A13" s="13"/>
      <c r="B13" s="23"/>
      <c r="C13" s="23"/>
      <c r="D13" s="23"/>
      <c r="F13" s="91"/>
      <c r="G13" s="91"/>
      <c r="H13" s="91"/>
    </row>
    <row r="14" spans="1:8" x14ac:dyDescent="0.3">
      <c r="A14" s="13" t="s">
        <v>27</v>
      </c>
      <c r="B14" s="14"/>
      <c r="C14" s="24"/>
      <c r="D14" s="24"/>
      <c r="F14" s="91"/>
      <c r="G14" s="91"/>
      <c r="H14" s="91"/>
    </row>
    <row r="15" spans="1:8" x14ac:dyDescent="0.3">
      <c r="A15" s="14" t="s">
        <v>28</v>
      </c>
      <c r="B15" s="14"/>
      <c r="C15" s="20"/>
      <c r="D15" s="20"/>
      <c r="F15" s="91"/>
      <c r="G15" s="91"/>
      <c r="H15" s="91"/>
    </row>
    <row r="16" spans="1:8" x14ac:dyDescent="0.3">
      <c r="A16" s="14" t="s">
        <v>29</v>
      </c>
      <c r="B16" s="16">
        <v>4681562</v>
      </c>
      <c r="C16" s="17">
        <v>4413561</v>
      </c>
      <c r="D16" s="17">
        <v>4429536</v>
      </c>
      <c r="E16" s="17">
        <v>4429536</v>
      </c>
      <c r="F16" s="102">
        <v>4429536</v>
      </c>
      <c r="G16" s="102">
        <v>4429536</v>
      </c>
      <c r="H16" s="102">
        <v>4429536</v>
      </c>
    </row>
    <row r="17" spans="1:8" x14ac:dyDescent="0.3">
      <c r="A17" s="14" t="s">
        <v>30</v>
      </c>
      <c r="B17" s="16">
        <v>562985</v>
      </c>
      <c r="C17" s="20">
        <v>674347</v>
      </c>
      <c r="D17" s="20">
        <v>656183</v>
      </c>
      <c r="E17" s="20">
        <f>'Other Items'!E19</f>
        <v>762212.8545602411</v>
      </c>
      <c r="F17" s="20">
        <f>'Other Items'!F19</f>
        <v>894556.73680187028</v>
      </c>
      <c r="G17" s="20">
        <f>'Other Items'!G19</f>
        <v>1019137.787157726</v>
      </c>
      <c r="H17" s="20">
        <f>'Other Items'!H19</f>
        <v>1143804.7556204358</v>
      </c>
    </row>
    <row r="18" spans="1:8" x14ac:dyDescent="0.3">
      <c r="A18" s="14" t="s">
        <v>31</v>
      </c>
      <c r="B18" s="16">
        <v>481874</v>
      </c>
      <c r="C18" s="20">
        <v>843043</v>
      </c>
      <c r="D18" s="20">
        <v>1102196</v>
      </c>
      <c r="E18" s="20">
        <f>'Other Items'!E22</f>
        <v>1111676.57</v>
      </c>
      <c r="F18" s="20">
        <f>'Other Items'!F22</f>
        <v>1304698.23</v>
      </c>
      <c r="G18" s="20">
        <f>'Other Items'!G22</f>
        <v>1486397.91</v>
      </c>
      <c r="H18" s="20">
        <f>'Other Items'!H22</f>
        <v>1668223</v>
      </c>
    </row>
    <row r="19" spans="1:8" x14ac:dyDescent="0.3">
      <c r="A19" s="14" t="s">
        <v>32</v>
      </c>
      <c r="B19" s="16">
        <v>760899</v>
      </c>
      <c r="C19" s="20">
        <v>924745</v>
      </c>
      <c r="D19" s="20">
        <v>1117992</v>
      </c>
      <c r="E19" s="20">
        <f>'Other Items'!E25</f>
        <v>1325090.692034519</v>
      </c>
      <c r="F19" s="20">
        <f>'Other Items'!F25</f>
        <v>1555167.6914670116</v>
      </c>
      <c r="G19" s="20">
        <f>'Other Items'!G25</f>
        <v>1771749.1742414942</v>
      </c>
      <c r="H19" s="20">
        <f>'Other Items'!H25</f>
        <v>1988480.023801106</v>
      </c>
    </row>
    <row r="20" spans="1:8" x14ac:dyDescent="0.3">
      <c r="A20" s="14" t="s">
        <v>33</v>
      </c>
      <c r="B20" s="18">
        <v>0</v>
      </c>
      <c r="C20" s="18">
        <v>0</v>
      </c>
      <c r="D20" s="18">
        <v>499878</v>
      </c>
      <c r="E20" s="18">
        <v>499878</v>
      </c>
      <c r="F20" s="103">
        <v>499878</v>
      </c>
      <c r="G20" s="103">
        <v>499878</v>
      </c>
      <c r="H20" s="103">
        <v>499878</v>
      </c>
    </row>
    <row r="21" spans="1:8" x14ac:dyDescent="0.3">
      <c r="A21" s="14" t="s">
        <v>34</v>
      </c>
      <c r="B21" s="19">
        <f>SUM(B16:B20)</f>
        <v>6487320</v>
      </c>
      <c r="C21" s="20">
        <f>SUM(C16:C20)</f>
        <v>6855696</v>
      </c>
      <c r="D21" s="20">
        <f>SUM(D16:D20)</f>
        <v>7805785</v>
      </c>
      <c r="E21" s="20">
        <f t="shared" ref="E21:H21" si="2">SUM(E16:E20)</f>
        <v>8128394.1165947607</v>
      </c>
      <c r="F21" s="104">
        <f t="shared" si="2"/>
        <v>8683836.658268882</v>
      </c>
      <c r="G21" s="104">
        <f t="shared" si="2"/>
        <v>9206698.8713992201</v>
      </c>
      <c r="H21" s="104">
        <f t="shared" si="2"/>
        <v>9729921.7794215418</v>
      </c>
    </row>
    <row r="22" spans="1:8" x14ac:dyDescent="0.3">
      <c r="A22" s="14" t="s">
        <v>35</v>
      </c>
      <c r="B22" s="16">
        <v>3759026</v>
      </c>
      <c r="C22" s="20">
        <v>3334323</v>
      </c>
      <c r="D22" s="20">
        <v>2618084</v>
      </c>
      <c r="E22" s="20">
        <v>2618084</v>
      </c>
      <c r="F22" s="104">
        <v>2618084</v>
      </c>
      <c r="G22" s="104">
        <v>2618084</v>
      </c>
      <c r="H22" s="104">
        <v>2618084</v>
      </c>
    </row>
    <row r="23" spans="1:8" x14ac:dyDescent="0.3">
      <c r="A23" s="14" t="s">
        <v>36</v>
      </c>
      <c r="B23" s="16">
        <v>10360058</v>
      </c>
      <c r="C23" s="20">
        <v>14759260</v>
      </c>
      <c r="D23" s="20">
        <v>15809095</v>
      </c>
      <c r="E23" s="20">
        <f>Schedules!E25</f>
        <v>15309095</v>
      </c>
      <c r="F23" s="20">
        <f>Schedules!F25</f>
        <v>14609095</v>
      </c>
      <c r="G23" s="20">
        <f>Schedules!G25</f>
        <v>14609095</v>
      </c>
      <c r="H23" s="20">
        <f>Schedules!H25</f>
        <v>14209095</v>
      </c>
    </row>
    <row r="24" spans="1:8" x14ac:dyDescent="0.3">
      <c r="A24" s="14" t="s">
        <v>37</v>
      </c>
      <c r="B24" s="16">
        <v>129231</v>
      </c>
      <c r="C24" s="18">
        <v>1444276</v>
      </c>
      <c r="D24" s="18">
        <v>1982155</v>
      </c>
      <c r="E24" s="18">
        <v>1982155</v>
      </c>
      <c r="F24" s="103">
        <v>1982155</v>
      </c>
      <c r="G24" s="103">
        <v>1982155</v>
      </c>
      <c r="H24" s="103">
        <v>1982155</v>
      </c>
    </row>
    <row r="25" spans="1:8" x14ac:dyDescent="0.3">
      <c r="A25" s="13" t="s">
        <v>38</v>
      </c>
      <c r="B25" s="19">
        <f>SUM(B21:B24)</f>
        <v>20735635</v>
      </c>
      <c r="C25" s="20">
        <f>SUM(C21:C24)</f>
        <v>26393555</v>
      </c>
      <c r="D25" s="20">
        <f>SUM(D21:D24)</f>
        <v>28215119</v>
      </c>
      <c r="E25" s="20">
        <f>SUM(E21:E24)</f>
        <v>28037728.116594762</v>
      </c>
      <c r="F25" s="104">
        <f t="shared" ref="F25:H25" si="3">SUM(F21:F24)</f>
        <v>27893170.658268884</v>
      </c>
      <c r="G25" s="104">
        <f t="shared" si="3"/>
        <v>28416032.87139922</v>
      </c>
      <c r="H25" s="104">
        <f t="shared" si="3"/>
        <v>28539255.779421542</v>
      </c>
    </row>
    <row r="26" spans="1:8" x14ac:dyDescent="0.3">
      <c r="A26" s="14" t="s">
        <v>39</v>
      </c>
      <c r="B26" s="14"/>
      <c r="C26" s="20"/>
      <c r="D26" s="20"/>
      <c r="F26" s="91"/>
      <c r="G26" s="91"/>
      <c r="H26" s="91"/>
    </row>
    <row r="27" spans="1:8" x14ac:dyDescent="0.3">
      <c r="A27" s="14" t="s">
        <v>40</v>
      </c>
      <c r="B27" s="20">
        <v>2315988</v>
      </c>
      <c r="C27" s="20">
        <v>2793929</v>
      </c>
      <c r="D27" s="20">
        <v>3447698</v>
      </c>
      <c r="E27" s="20">
        <v>3447698</v>
      </c>
      <c r="F27" s="104">
        <v>3447698</v>
      </c>
      <c r="G27" s="104">
        <v>3447698</v>
      </c>
      <c r="H27" s="104">
        <v>3447698</v>
      </c>
    </row>
    <row r="28" spans="1:8" x14ac:dyDescent="0.3">
      <c r="A28" s="14" t="s">
        <v>41</v>
      </c>
      <c r="B28" s="28"/>
      <c r="C28" s="20">
        <v>0</v>
      </c>
      <c r="D28" s="20">
        <v>0</v>
      </c>
      <c r="E28" s="20">
        <v>0</v>
      </c>
      <c r="F28" s="104">
        <v>0</v>
      </c>
      <c r="G28" s="104">
        <v>0</v>
      </c>
      <c r="H28" s="104">
        <v>0</v>
      </c>
    </row>
    <row r="29" spans="1:8" x14ac:dyDescent="0.3">
      <c r="A29" s="14" t="s">
        <v>42</v>
      </c>
      <c r="B29" s="20">
        <v>-19582</v>
      </c>
      <c r="C29" s="20">
        <v>-23521</v>
      </c>
      <c r="D29" s="20">
        <v>44398</v>
      </c>
      <c r="E29" s="20">
        <v>44398</v>
      </c>
      <c r="F29" s="104">
        <v>44398</v>
      </c>
      <c r="G29" s="104">
        <v>44398</v>
      </c>
      <c r="H29" s="104">
        <v>44398</v>
      </c>
    </row>
    <row r="30" spans="1:8" x14ac:dyDescent="0.3">
      <c r="A30" s="14" t="s">
        <v>43</v>
      </c>
      <c r="B30" s="16">
        <v>2942359</v>
      </c>
      <c r="C30" s="18">
        <v>4811749</v>
      </c>
      <c r="D30" s="18">
        <v>7573144</v>
      </c>
      <c r="E30" s="108">
        <f>D30+'P&amp;L'!E21</f>
        <v>10348980.383001614</v>
      </c>
      <c r="F30" s="108">
        <f>E30+'P&amp;L'!F21</f>
        <v>13742838.543196302</v>
      </c>
      <c r="G30" s="108">
        <f>F30+'P&amp;L'!G21</f>
        <v>17696559.018166106</v>
      </c>
      <c r="H30" s="108">
        <f>G30+'P&amp;L'!H21</f>
        <v>22230168.408147287</v>
      </c>
    </row>
    <row r="31" spans="1:8" x14ac:dyDescent="0.3">
      <c r="A31" s="13" t="s">
        <v>44</v>
      </c>
      <c r="B31" s="29">
        <f>SUM(B27:B30)</f>
        <v>5238765</v>
      </c>
      <c r="C31" s="20">
        <f>SUM(C27:C30)</f>
        <v>7582157</v>
      </c>
      <c r="D31" s="20">
        <f>SUM(D27:D30)</f>
        <v>11065240</v>
      </c>
      <c r="E31" s="20">
        <f t="shared" ref="E31:H31" si="4">SUM(E27:E30)</f>
        <v>13841076.383001614</v>
      </c>
      <c r="F31" s="104">
        <f t="shared" si="4"/>
        <v>17234934.543196302</v>
      </c>
      <c r="G31" s="104">
        <f t="shared" si="4"/>
        <v>21188655.018166106</v>
      </c>
      <c r="H31" s="104">
        <f t="shared" si="4"/>
        <v>25722264.408147287</v>
      </c>
    </row>
    <row r="32" spans="1:8" ht="15" thickBot="1" x14ac:dyDescent="0.35">
      <c r="A32" s="13" t="s">
        <v>45</v>
      </c>
      <c r="B32" s="101">
        <f>B25+B31</f>
        <v>25974400</v>
      </c>
      <c r="C32" s="101">
        <f t="shared" ref="C32:D32" si="5">C25+C31</f>
        <v>33975712</v>
      </c>
      <c r="D32" s="101">
        <f t="shared" si="5"/>
        <v>39280359</v>
      </c>
      <c r="E32" s="101">
        <f>E25+E31</f>
        <v>41878804.499596372</v>
      </c>
      <c r="F32" s="105">
        <f t="shared" ref="F32" si="6">F25+F31</f>
        <v>45128105.201465189</v>
      </c>
      <c r="G32" s="105">
        <f t="shared" ref="G32" si="7">G25+G31</f>
        <v>49604687.889565326</v>
      </c>
      <c r="H32" s="105">
        <f t="shared" ref="H32" si="8">H25+H31</f>
        <v>54261520.187568828</v>
      </c>
    </row>
    <row r="35" spans="1:8" x14ac:dyDescent="0.3">
      <c r="A35" t="s">
        <v>113</v>
      </c>
      <c r="B35" t="b">
        <f>B32=B12</f>
        <v>1</v>
      </c>
      <c r="C35" t="b">
        <f>C32=C12</f>
        <v>1</v>
      </c>
      <c r="D35" t="b">
        <f t="shared" ref="D35:H35" si="9">D32=D12</f>
        <v>1</v>
      </c>
      <c r="E35" t="b">
        <f t="shared" si="9"/>
        <v>1</v>
      </c>
      <c r="F35" t="b">
        <f t="shared" si="9"/>
        <v>1</v>
      </c>
      <c r="G35" t="b">
        <f t="shared" si="9"/>
        <v>1</v>
      </c>
      <c r="H35" t="b">
        <f t="shared" si="9"/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CAE5B-69A1-4609-B587-7437C78B3FAD}">
  <dimension ref="A1:H31"/>
  <sheetViews>
    <sheetView workbookViewId="0">
      <selection activeCell="L19" sqref="L19"/>
    </sheetView>
  </sheetViews>
  <sheetFormatPr defaultRowHeight="14.4" x14ac:dyDescent="0.3"/>
  <cols>
    <col min="1" max="1" width="33.21875" style="31" bestFit="1" customWidth="1"/>
    <col min="5" max="5" width="16.109375" bestFit="1" customWidth="1"/>
    <col min="6" max="8" width="14.6640625" bestFit="1" customWidth="1"/>
  </cols>
  <sheetData>
    <row r="1" spans="1:8" ht="15.6" x14ac:dyDescent="0.3">
      <c r="A1" s="30" t="s">
        <v>93</v>
      </c>
    </row>
    <row r="2" spans="1:8" ht="36" x14ac:dyDescent="0.3">
      <c r="B2" s="33" t="s">
        <v>2</v>
      </c>
      <c r="C2" s="33" t="s">
        <v>3</v>
      </c>
      <c r="D2" s="33" t="s">
        <v>4</v>
      </c>
      <c r="E2" s="33" t="s">
        <v>137</v>
      </c>
      <c r="F2" s="33" t="s">
        <v>148</v>
      </c>
      <c r="G2" s="33" t="s">
        <v>139</v>
      </c>
      <c r="H2" s="33" t="s">
        <v>140</v>
      </c>
    </row>
    <row r="3" spans="1:8" x14ac:dyDescent="0.3">
      <c r="A3" s="32" t="s">
        <v>1</v>
      </c>
      <c r="B3" s="100"/>
      <c r="C3" s="100"/>
      <c r="D3" s="100"/>
    </row>
    <row r="4" spans="1:8" x14ac:dyDescent="0.3">
      <c r="A4" s="31" t="s">
        <v>94</v>
      </c>
      <c r="B4" s="100"/>
      <c r="C4" s="100"/>
      <c r="D4" s="100"/>
      <c r="E4" s="106">
        <f>'P&amp;L'!E15</f>
        <v>3912365.5774570038</v>
      </c>
      <c r="F4" s="54">
        <f>'P&amp;L'!F15</f>
        <v>4596567.6395901954</v>
      </c>
      <c r="G4" s="54">
        <f>'P&amp;L'!G15</f>
        <v>5245223.4591717664</v>
      </c>
      <c r="H4" s="54">
        <f>'P&amp;L'!H15</f>
        <v>5898889.3643994136</v>
      </c>
    </row>
    <row r="5" spans="1:8" x14ac:dyDescent="0.3">
      <c r="A5" s="31" t="s">
        <v>95</v>
      </c>
      <c r="B5" s="100"/>
      <c r="C5" s="100"/>
      <c r="D5" s="100"/>
      <c r="E5" s="54">
        <f>E4*E6</f>
        <v>-535557.75068915728</v>
      </c>
      <c r="F5" s="54">
        <f t="shared" ref="F5:H5" si="0">F4*F6</f>
        <v>-629217.1263682344</v>
      </c>
      <c r="G5" s="54">
        <f t="shared" si="0"/>
        <v>-718010.63117468951</v>
      </c>
      <c r="H5" s="54">
        <f t="shared" si="0"/>
        <v>-807489.95895608154</v>
      </c>
    </row>
    <row r="6" spans="1:8" x14ac:dyDescent="0.3">
      <c r="A6" s="63" t="s">
        <v>96</v>
      </c>
      <c r="B6" s="100"/>
      <c r="C6" s="100"/>
      <c r="D6" s="100"/>
      <c r="E6" s="69">
        <f>'P&amp;L'!E20</f>
        <v>-0.13688847324877654</v>
      </c>
      <c r="F6" s="69">
        <f>'P&amp;L'!F20</f>
        <v>-0.13688847324877654</v>
      </c>
      <c r="G6" s="69">
        <f>'P&amp;L'!G20</f>
        <v>-0.13688847324877654</v>
      </c>
      <c r="H6" s="69">
        <f>'P&amp;L'!H20</f>
        <v>-0.13688847324877654</v>
      </c>
    </row>
    <row r="7" spans="1:8" x14ac:dyDescent="0.3">
      <c r="A7" s="38" t="s">
        <v>97</v>
      </c>
      <c r="B7" s="100"/>
      <c r="C7" s="100"/>
      <c r="D7" s="100"/>
      <c r="E7" s="54">
        <f>E4+E5</f>
        <v>3376807.8267678465</v>
      </c>
      <c r="F7" s="54">
        <f t="shared" ref="F7:H7" si="1">F4+F5</f>
        <v>3967350.513221961</v>
      </c>
      <c r="G7" s="54">
        <f t="shared" si="1"/>
        <v>4527212.8279970773</v>
      </c>
      <c r="H7" s="54">
        <f t="shared" si="1"/>
        <v>5091399.4054433322</v>
      </c>
    </row>
    <row r="8" spans="1:8" x14ac:dyDescent="0.3">
      <c r="A8" s="31" t="s">
        <v>98</v>
      </c>
      <c r="B8" s="100"/>
      <c r="C8" s="100"/>
      <c r="D8" s="100"/>
      <c r="E8" s="54">
        <f>Schedules!E16</f>
        <v>10579850.30949006</v>
      </c>
      <c r="F8" s="54">
        <f>Schedules!F16</f>
        <v>10895629.69539175</v>
      </c>
      <c r="G8" s="54">
        <f>Schedules!G16</f>
        <v>11121285.624228006</v>
      </c>
      <c r="H8" s="54">
        <f>Schedules!H16</f>
        <v>11282539.33644723</v>
      </c>
    </row>
    <row r="9" spans="1:8" x14ac:dyDescent="0.3">
      <c r="A9" s="57" t="s">
        <v>99</v>
      </c>
      <c r="B9" s="100"/>
      <c r="C9" s="100"/>
      <c r="D9" s="100"/>
      <c r="E9" s="106">
        <f>Schedules!E6</f>
        <v>186714.86806745233</v>
      </c>
      <c r="F9" s="106">
        <f>Schedules!F6</f>
        <v>214240.79180566277</v>
      </c>
      <c r="G9" s="106">
        <f>Schedules!G6</f>
        <v>235565.4695895089</v>
      </c>
      <c r="H9" s="106">
        <f>Schedules!H6</f>
        <v>252342.11800147456</v>
      </c>
    </row>
    <row r="10" spans="1:8" x14ac:dyDescent="0.3">
      <c r="A10" s="38" t="s">
        <v>100</v>
      </c>
      <c r="B10" s="100"/>
      <c r="C10" s="100"/>
      <c r="D10" s="100"/>
      <c r="E10" s="106">
        <f>E7+E8+E9</f>
        <v>14143373.00432536</v>
      </c>
      <c r="F10" s="54">
        <f t="shared" ref="F10:H10" si="2">F7+F8+F9</f>
        <v>15077221.000419373</v>
      </c>
      <c r="G10" s="54">
        <f t="shared" si="2"/>
        <v>15884063.921814593</v>
      </c>
      <c r="H10" s="54">
        <f t="shared" si="2"/>
        <v>16626280.859892035</v>
      </c>
    </row>
    <row r="11" spans="1:8" x14ac:dyDescent="0.3">
      <c r="A11" s="31" t="s">
        <v>101</v>
      </c>
      <c r="B11" s="100"/>
      <c r="C11" s="100"/>
      <c r="D11" s="100"/>
      <c r="E11" s="106">
        <f>'Other Items'!E19-'Other Items'!D19</f>
        <v>106029.8545602411</v>
      </c>
      <c r="F11" s="106">
        <f>'Other Items'!F19-'Other Items'!E19</f>
        <v>132343.88224162918</v>
      </c>
      <c r="G11" s="106">
        <f>'Other Items'!G19-'Other Items'!F19</f>
        <v>124581.05035585572</v>
      </c>
      <c r="H11" s="106">
        <f>'Other Items'!H19-'Other Items'!G19</f>
        <v>124666.9684627098</v>
      </c>
    </row>
    <row r="12" spans="1:8" x14ac:dyDescent="0.3">
      <c r="A12" s="31" t="s">
        <v>69</v>
      </c>
      <c r="B12" s="100"/>
      <c r="C12" s="100"/>
      <c r="D12" s="100"/>
      <c r="E12" s="106">
        <f>'Other Items'!E25-'Other Items'!D25</f>
        <v>207098.69203451904</v>
      </c>
      <c r="F12" s="106">
        <f>'Other Items'!F25-'Other Items'!E25</f>
        <v>230076.99943249254</v>
      </c>
      <c r="G12" s="106">
        <f>'Other Items'!G25-'Other Items'!F25</f>
        <v>216581.48277448257</v>
      </c>
      <c r="H12" s="106">
        <f>'Other Items'!H25-'Other Items'!G25</f>
        <v>216730.84955961187</v>
      </c>
    </row>
    <row r="13" spans="1:8" x14ac:dyDescent="0.3">
      <c r="A13" s="31" t="s">
        <v>102</v>
      </c>
      <c r="B13" s="100"/>
      <c r="C13" s="100"/>
      <c r="D13" s="100"/>
      <c r="E13" s="106"/>
      <c r="F13" s="106"/>
      <c r="G13" s="106"/>
      <c r="H13" s="106"/>
    </row>
    <row r="14" spans="1:8" x14ac:dyDescent="0.3">
      <c r="A14" s="14" t="s">
        <v>103</v>
      </c>
      <c r="B14" s="100"/>
      <c r="C14" s="100"/>
      <c r="D14" s="100"/>
      <c r="E14" s="106">
        <f>'Other Items'!E22-'Other Items'!D22</f>
        <v>9480.5700000000652</v>
      </c>
      <c r="F14" s="106">
        <f>'Other Items'!F22-'Other Items'!E22</f>
        <v>193021.65999999992</v>
      </c>
      <c r="G14" s="106">
        <f>'Other Items'!G22-'Other Items'!F22</f>
        <v>181699.67999999993</v>
      </c>
      <c r="H14" s="106">
        <f>'Other Items'!H22-'Other Items'!G22</f>
        <v>181825.09000000008</v>
      </c>
    </row>
    <row r="15" spans="1:8" x14ac:dyDescent="0.3">
      <c r="A15" s="57" t="s">
        <v>104</v>
      </c>
      <c r="B15" s="100"/>
      <c r="C15" s="100"/>
      <c r="D15" s="100"/>
      <c r="E15" s="54">
        <f>-('Other Items'!E16-'Other Items'!D16)</f>
        <v>-227107.35170919797</v>
      </c>
      <c r="F15" s="54">
        <f>-('Other Items'!F16-'Other Items'!E16)</f>
        <v>-309608.16034965101</v>
      </c>
      <c r="G15" s="54">
        <f>-('Other Items'!G16-'Other Items'!F16)</f>
        <v>-291447.6223742743</v>
      </c>
      <c r="H15" s="54">
        <f>-('Other Items'!H16-'Other Items'!G16)</f>
        <v>-291648.62106460519</v>
      </c>
    </row>
    <row r="16" spans="1:8" x14ac:dyDescent="0.3">
      <c r="A16" s="38" t="s">
        <v>105</v>
      </c>
      <c r="B16" s="100"/>
      <c r="C16" s="100"/>
      <c r="D16" s="100"/>
      <c r="E16" s="106">
        <f>SUM(E11:E15)</f>
        <v>95501.764885562239</v>
      </c>
      <c r="F16" s="106">
        <f t="shared" ref="F16:H16" si="3">SUM(F11:F15)</f>
        <v>245834.38132447063</v>
      </c>
      <c r="G16" s="106">
        <f t="shared" si="3"/>
        <v>231414.59075606393</v>
      </c>
      <c r="H16" s="106">
        <f t="shared" si="3"/>
        <v>231574.28695771657</v>
      </c>
    </row>
    <row r="17" spans="1:8" x14ac:dyDescent="0.3">
      <c r="A17" s="31" t="s">
        <v>76</v>
      </c>
      <c r="B17" s="100"/>
      <c r="C17" s="100"/>
      <c r="D17" s="100"/>
      <c r="E17" s="54">
        <f>Schedules!E15</f>
        <v>11686295</v>
      </c>
      <c r="F17" s="54">
        <f>Schedules!F15</f>
        <v>11686295</v>
      </c>
      <c r="G17" s="54">
        <f>Schedules!G15</f>
        <v>11686295</v>
      </c>
      <c r="H17" s="54">
        <f>Schedules!H15</f>
        <v>11686295</v>
      </c>
    </row>
    <row r="18" spans="1:8" x14ac:dyDescent="0.3">
      <c r="A18" s="57" t="s">
        <v>70</v>
      </c>
      <c r="B18" s="100"/>
      <c r="C18" s="100"/>
      <c r="D18" s="100"/>
      <c r="E18" s="106">
        <f>Schedules!E5</f>
        <v>510672</v>
      </c>
      <c r="F18" s="106">
        <f>Schedules!F5</f>
        <v>510672</v>
      </c>
      <c r="G18" s="106">
        <f>Schedules!G5</f>
        <v>510672</v>
      </c>
      <c r="H18" s="106">
        <f>Schedules!H5</f>
        <v>510672</v>
      </c>
    </row>
    <row r="19" spans="1:8" x14ac:dyDescent="0.3">
      <c r="A19" s="38" t="s">
        <v>106</v>
      </c>
      <c r="B19" s="100"/>
      <c r="C19" s="100"/>
      <c r="D19" s="100"/>
      <c r="E19" s="54">
        <f>-SUM(E17:E18)</f>
        <v>-12196967</v>
      </c>
      <c r="F19" s="54">
        <f t="shared" ref="F19:H19" si="4">-SUM(F17:F18)</f>
        <v>-12196967</v>
      </c>
      <c r="G19" s="54">
        <f t="shared" si="4"/>
        <v>-12196967</v>
      </c>
      <c r="H19" s="54">
        <f t="shared" si="4"/>
        <v>-12196967</v>
      </c>
    </row>
    <row r="20" spans="1:8" x14ac:dyDescent="0.3">
      <c r="A20" s="64" t="s">
        <v>107</v>
      </c>
      <c r="B20" s="100"/>
      <c r="C20" s="100"/>
      <c r="D20" s="100"/>
      <c r="E20" s="106"/>
      <c r="F20" s="106"/>
      <c r="G20" s="106"/>
      <c r="H20" s="106"/>
    </row>
    <row r="21" spans="1:8" x14ac:dyDescent="0.3">
      <c r="A21" s="70" t="s">
        <v>108</v>
      </c>
      <c r="B21" s="109"/>
      <c r="C21" s="109"/>
      <c r="D21" s="109"/>
      <c r="E21" s="110">
        <f>E10+E19+E16</f>
        <v>2041907.7692109223</v>
      </c>
      <c r="F21" s="110">
        <f t="shared" ref="F21:H21" si="5">F10+F19+F16</f>
        <v>3126088.3817438432</v>
      </c>
      <c r="G21" s="110">
        <f t="shared" si="5"/>
        <v>3918511.5125706564</v>
      </c>
      <c r="H21" s="110">
        <f t="shared" si="5"/>
        <v>4660888.1468497515</v>
      </c>
    </row>
    <row r="22" spans="1:8" x14ac:dyDescent="0.3">
      <c r="A22" s="65" t="s">
        <v>109</v>
      </c>
      <c r="B22" s="100"/>
      <c r="C22" s="100"/>
      <c r="D22" s="100"/>
      <c r="E22" s="54">
        <f>Schedules!E24</f>
        <v>-500000</v>
      </c>
      <c r="F22" s="54">
        <f>Schedules!F24</f>
        <v>-700000</v>
      </c>
      <c r="G22" s="54">
        <f>Schedules!G24</f>
        <v>0</v>
      </c>
      <c r="H22" s="54">
        <f>Schedules!H24</f>
        <v>-400000</v>
      </c>
    </row>
    <row r="23" spans="1:8" x14ac:dyDescent="0.3">
      <c r="A23" s="66" t="s">
        <v>83</v>
      </c>
      <c r="B23" s="100"/>
      <c r="C23" s="100"/>
      <c r="D23" s="100"/>
      <c r="E23" s="50">
        <f>Schedules!E27</f>
        <v>-696284.80809230579</v>
      </c>
      <c r="F23" s="50">
        <f>Schedules!F27</f>
        <v>-664447.56587357156</v>
      </c>
      <c r="G23" s="50">
        <f>Schedules!G27</f>
        <v>-664447.56587357156</v>
      </c>
      <c r="H23" s="50">
        <f>Schedules!H27</f>
        <v>-646254.85603429482</v>
      </c>
    </row>
    <row r="24" spans="1:8" x14ac:dyDescent="0.3">
      <c r="A24" s="66" t="s">
        <v>110</v>
      </c>
      <c r="B24" s="100"/>
      <c r="C24" s="100"/>
      <c r="D24" s="100"/>
      <c r="E24" s="106">
        <f>'P&amp;L'!E19-'Cashflow Statement'!E5</f>
        <v>95313.364326073148</v>
      </c>
      <c r="F24" s="106">
        <f>'P&amp;L'!F19-'Cashflow Statement'!F5</f>
        <v>90955.212846299168</v>
      </c>
      <c r="G24" s="106">
        <f>'P&amp;L'!G19-'Cashflow Statement'!G5</f>
        <v>90955.212846299168</v>
      </c>
      <c r="H24" s="106">
        <f>'P&amp;L'!H19-'Cashflow Statement'!H5</f>
        <v>88464.840572142508</v>
      </c>
    </row>
    <row r="25" spans="1:8" x14ac:dyDescent="0.3">
      <c r="A25" s="67" t="s">
        <v>111</v>
      </c>
      <c r="B25" s="100"/>
      <c r="C25" s="100"/>
      <c r="D25" s="100"/>
      <c r="E25" s="54">
        <f>E21+E24+E23+E22</f>
        <v>940936.32544468949</v>
      </c>
      <c r="F25" s="54">
        <f t="shared" ref="F25:H25" si="6">F21+F24+F23+F22</f>
        <v>1852596.0287165707</v>
      </c>
      <c r="G25" s="54">
        <f t="shared" si="6"/>
        <v>3345019.1595433839</v>
      </c>
      <c r="H25" s="54">
        <f t="shared" si="6"/>
        <v>3703098.1313875997</v>
      </c>
    </row>
    <row r="26" spans="1:8" x14ac:dyDescent="0.3">
      <c r="A26" s="68"/>
    </row>
    <row r="27" spans="1:8" x14ac:dyDescent="0.3">
      <c r="A27" s="66"/>
    </row>
    <row r="28" spans="1:8" x14ac:dyDescent="0.3">
      <c r="A28" s="31" t="s">
        <v>112</v>
      </c>
    </row>
    <row r="29" spans="1:8" x14ac:dyDescent="0.3">
      <c r="A29" s="31" t="s">
        <v>114</v>
      </c>
    </row>
    <row r="30" spans="1:8" x14ac:dyDescent="0.3">
      <c r="A30" s="66"/>
    </row>
    <row r="31" spans="1:8" x14ac:dyDescent="0.3">
      <c r="A31" s="66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D4B7A-C292-4060-BCE7-D5B09D3CE1EB}">
  <dimension ref="A1:D18"/>
  <sheetViews>
    <sheetView workbookViewId="0"/>
  </sheetViews>
  <sheetFormatPr defaultRowHeight="14.4" x14ac:dyDescent="0.3"/>
  <cols>
    <col min="1" max="1" width="18.6640625" bestFit="1" customWidth="1"/>
    <col min="2" max="2" width="14.109375" bestFit="1" customWidth="1"/>
  </cols>
  <sheetData>
    <row r="1" spans="1:4" ht="18" x14ac:dyDescent="0.35">
      <c r="A1" s="114" t="s">
        <v>115</v>
      </c>
    </row>
    <row r="3" spans="1:4" x14ac:dyDescent="0.3">
      <c r="A3" t="s">
        <v>116</v>
      </c>
      <c r="B3" s="71">
        <v>1.67E-2</v>
      </c>
    </row>
    <row r="4" spans="1:4" x14ac:dyDescent="0.3">
      <c r="A4" t="s">
        <v>117</v>
      </c>
      <c r="B4" s="71">
        <v>5.5E-2</v>
      </c>
    </row>
    <row r="5" spans="1:4" x14ac:dyDescent="0.3">
      <c r="A5" t="s">
        <v>118</v>
      </c>
      <c r="B5">
        <v>1.0580000000000001</v>
      </c>
    </row>
    <row r="7" spans="1:4" x14ac:dyDescent="0.3">
      <c r="A7" s="3" t="s">
        <v>1</v>
      </c>
      <c r="B7" t="s">
        <v>119</v>
      </c>
    </row>
    <row r="9" spans="1:4" x14ac:dyDescent="0.3">
      <c r="A9" t="s">
        <v>120</v>
      </c>
      <c r="B9" s="71">
        <f>B3*B5+B4</f>
        <v>7.26686E-2</v>
      </c>
      <c r="D9" t="s">
        <v>121</v>
      </c>
    </row>
    <row r="10" spans="1:4" x14ac:dyDescent="0.3">
      <c r="A10" t="s">
        <v>122</v>
      </c>
      <c r="B10" s="71">
        <v>4.8750000000000002E-2</v>
      </c>
    </row>
    <row r="12" spans="1:4" x14ac:dyDescent="0.3">
      <c r="A12" t="s">
        <v>123</v>
      </c>
      <c r="B12" s="54">
        <f>'Balance Sheet'!H31</f>
        <v>25722264.408147287</v>
      </c>
    </row>
    <row r="13" spans="1:4" x14ac:dyDescent="0.3">
      <c r="A13" t="s">
        <v>124</v>
      </c>
      <c r="B13" s="54">
        <f>'Balance Sheet'!H23</f>
        <v>14209095</v>
      </c>
    </row>
    <row r="15" spans="1:4" x14ac:dyDescent="0.3">
      <c r="A15" t="s">
        <v>125</v>
      </c>
      <c r="B15">
        <f>B12/(B12+B13)</f>
        <v>0.64416200172987625</v>
      </c>
    </row>
    <row r="16" spans="1:4" x14ac:dyDescent="0.3">
      <c r="A16" t="s">
        <v>126</v>
      </c>
      <c r="B16">
        <f>B13/(B12+B13)</f>
        <v>0.35583799827012363</v>
      </c>
    </row>
    <row r="18" spans="1:2" x14ac:dyDescent="0.3">
      <c r="A18" t="s">
        <v>115</v>
      </c>
      <c r="B18" s="72">
        <f>B9*B15+B10*B16</f>
        <v>6.4157453254576211E-2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17F41-B3FC-4CBF-9861-4D3A4E737DB3}">
  <dimension ref="A1:E19"/>
  <sheetViews>
    <sheetView workbookViewId="0"/>
  </sheetViews>
  <sheetFormatPr defaultRowHeight="14.4" x14ac:dyDescent="0.3"/>
  <cols>
    <col min="1" max="1" width="25.109375" customWidth="1"/>
    <col min="2" max="2" width="14" bestFit="1" customWidth="1"/>
    <col min="3" max="5" width="12.5546875" bestFit="1" customWidth="1"/>
  </cols>
  <sheetData>
    <row r="1" spans="1:5" ht="18" x14ac:dyDescent="0.35">
      <c r="A1" s="114" t="s">
        <v>127</v>
      </c>
    </row>
    <row r="2" spans="1:5" ht="36" x14ac:dyDescent="0.3">
      <c r="B2" s="33" t="s">
        <v>137</v>
      </c>
      <c r="C2" s="33" t="s">
        <v>148</v>
      </c>
      <c r="D2" s="33" t="s">
        <v>139</v>
      </c>
      <c r="E2" s="33" t="s">
        <v>140</v>
      </c>
    </row>
    <row r="3" spans="1:5" x14ac:dyDescent="0.3">
      <c r="A3" s="3" t="s">
        <v>1</v>
      </c>
    </row>
    <row r="4" spans="1:5" x14ac:dyDescent="0.3">
      <c r="A4" t="s">
        <v>108</v>
      </c>
      <c r="B4" s="54">
        <f>'Cashflow Statement'!E21</f>
        <v>2041907.7692109223</v>
      </c>
      <c r="C4" s="54">
        <f>'Cashflow Statement'!F21</f>
        <v>3126088.3817438432</v>
      </c>
      <c r="D4" s="54">
        <f>'Cashflow Statement'!G21</f>
        <v>3918511.5125706564</v>
      </c>
      <c r="E4" s="54">
        <f>'Cashflow Statement'!H21</f>
        <v>4660888.1468497515</v>
      </c>
    </row>
    <row r="5" spans="1:5" x14ac:dyDescent="0.3">
      <c r="A5" t="s">
        <v>128</v>
      </c>
      <c r="B5" s="111">
        <f>1/(1+WACC!$B$18)^DCF!B6</f>
        <v>0.93971056345246695</v>
      </c>
      <c r="C5" s="111">
        <f>1/(1+WACC!$B$18)^DCF!C6</f>
        <v>0.88305594306415292</v>
      </c>
      <c r="D5" s="111">
        <f>1/(1+WACC!$B$18)^DCF!D6</f>
        <v>0.8298169978168648</v>
      </c>
      <c r="E5" s="111">
        <f>1/(1+WACC!$B$18)^DCF!E6</f>
        <v>0.7797877985809204</v>
      </c>
    </row>
    <row r="6" spans="1:5" x14ac:dyDescent="0.3">
      <c r="A6" t="s">
        <v>129</v>
      </c>
      <c r="B6">
        <v>1</v>
      </c>
      <c r="C6">
        <v>2</v>
      </c>
      <c r="D6">
        <v>3</v>
      </c>
      <c r="E6">
        <v>4</v>
      </c>
    </row>
    <row r="8" spans="1:5" x14ac:dyDescent="0.3">
      <c r="A8" t="s">
        <v>130</v>
      </c>
      <c r="B8" s="82">
        <f>B4*B5</f>
        <v>1918802.3003231657</v>
      </c>
      <c r="C8" s="82">
        <f t="shared" ref="C8:E8" si="0">C4*C5</f>
        <v>2760510.9240427013</v>
      </c>
      <c r="D8" s="82">
        <f t="shared" si="0"/>
        <v>3251647.459272204</v>
      </c>
      <c r="E8" s="82">
        <f t="shared" si="0"/>
        <v>3634503.7074638736</v>
      </c>
    </row>
    <row r="10" spans="1:5" x14ac:dyDescent="0.3">
      <c r="A10" t="s">
        <v>131</v>
      </c>
      <c r="B10" s="82">
        <f>SUM(B8:E8)</f>
        <v>11565464.391101945</v>
      </c>
    </row>
    <row r="12" spans="1:5" x14ac:dyDescent="0.3">
      <c r="A12" t="s">
        <v>132</v>
      </c>
      <c r="B12" s="82">
        <f>E4*(1+WACC!B3)/(WACC!B18-WACC!B3)</f>
        <v>99852070.727061138</v>
      </c>
    </row>
    <row r="13" spans="1:5" x14ac:dyDescent="0.3">
      <c r="A13" t="s">
        <v>133</v>
      </c>
      <c r="B13" s="82">
        <f>B12*E5</f>
        <v>77863426.416001365</v>
      </c>
    </row>
    <row r="15" spans="1:5" x14ac:dyDescent="0.3">
      <c r="B15" s="69"/>
      <c r="C15" s="69"/>
      <c r="D15" s="69"/>
      <c r="E15" s="69"/>
    </row>
    <row r="16" spans="1:5" x14ac:dyDescent="0.3">
      <c r="A16" s="73" t="s">
        <v>134</v>
      </c>
      <c r="B16" s="112">
        <f>B13+B10</f>
        <v>89428890.807103306</v>
      </c>
    </row>
    <row r="17" spans="1:2" x14ac:dyDescent="0.3">
      <c r="A17" t="s">
        <v>124</v>
      </c>
      <c r="B17">
        <f>'Balance Sheet'!H23</f>
        <v>14209095</v>
      </c>
    </row>
    <row r="18" spans="1:2" x14ac:dyDescent="0.3">
      <c r="A18" t="s">
        <v>135</v>
      </c>
      <c r="B18">
        <f>'Balance Sheet'!H6</f>
        <v>18047199.645092241</v>
      </c>
    </row>
    <row r="19" spans="1:2" x14ac:dyDescent="0.3">
      <c r="A19" s="73" t="s">
        <v>136</v>
      </c>
      <c r="B19" s="112">
        <f>B16+B18-B17</f>
        <v>93266995.452195555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P&amp;L Input</vt:lpstr>
      <vt:lpstr>Balance Sheet Input</vt:lpstr>
      <vt:lpstr>Revenue Modelling</vt:lpstr>
      <vt:lpstr>Other Items</vt:lpstr>
      <vt:lpstr>Schedules</vt:lpstr>
      <vt:lpstr>P&amp;L</vt:lpstr>
      <vt:lpstr>Balance Sheet</vt:lpstr>
      <vt:lpstr>Cashflow Statement</vt:lpstr>
      <vt:lpstr>WACC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Thakur</dc:creator>
  <cp:lastModifiedBy>Agrim Thakur</cp:lastModifiedBy>
  <dcterms:created xsi:type="dcterms:W3CDTF">2021-11-01T12:20:11Z</dcterms:created>
  <dcterms:modified xsi:type="dcterms:W3CDTF">2026-07-31T15:52:11Z</dcterms:modified>
</cp:coreProperties>
</file>